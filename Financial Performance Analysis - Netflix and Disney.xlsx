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fileSharing readOnlyRecommended="1"/>
  <workbookPr hidePivotFieldList="1"/>
  <mc:AlternateContent xmlns:mc="http://schemas.openxmlformats.org/markup-compatibility/2006">
    <mc:Choice Requires="x15">
      <x15ac:absPath xmlns:x15ac="http://schemas.microsoft.com/office/spreadsheetml/2010/11/ac" url="C:\Users\ASUS\OneDrive\Desktop\"/>
    </mc:Choice>
  </mc:AlternateContent>
  <xr:revisionPtr revIDLastSave="0" documentId="8_{A395F661-3649-433F-8A57-13D0BB8AD5C5}" xr6:coauthVersionLast="47" xr6:coauthVersionMax="47" xr10:uidLastSave="{00000000-0000-0000-0000-000000000000}"/>
  <bookViews>
    <workbookView xWindow="-108" yWindow="-108" windowWidth="23256" windowHeight="12456" activeTab="5" xr2:uid="{00000000-000D-0000-FFFF-FFFF00000000}"/>
  </bookViews>
  <sheets>
    <sheet name="Financials_Netflix" sheetId="1" r:id="rId1"/>
    <sheet name="Financials_The Walt Disney" sheetId="3" r:id="rId2"/>
    <sheet name="Ratios" sheetId="2" r:id="rId3"/>
    <sheet name="Trend_Analysis" sheetId="5" r:id="rId4"/>
    <sheet name="KPIs_Qs" sheetId="10" r:id="rId5"/>
    <sheet name="Dashboard" sheetId="11"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2" i="10" l="1"/>
  <c r="R43" i="10" s="1"/>
  <c r="R44" i="10" s="1"/>
  <c r="R41" i="10"/>
  <c r="L21" i="10"/>
  <c r="L22" i="10"/>
  <c r="L23" i="10"/>
  <c r="L24" i="10"/>
  <c r="L25" i="10"/>
  <c r="L18" i="10"/>
  <c r="M18" i="10"/>
  <c r="N18" i="10"/>
  <c r="O18" i="10"/>
  <c r="K18" i="10"/>
  <c r="K17" i="10"/>
  <c r="K25" i="10"/>
  <c r="K24" i="10"/>
  <c r="K23" i="10"/>
  <c r="K22" i="10"/>
  <c r="K21" i="10"/>
  <c r="M17" i="10"/>
  <c r="N17" i="10"/>
  <c r="O17" i="10"/>
  <c r="L17" i="10"/>
  <c r="F18" i="2"/>
  <c r="D5" i="2"/>
  <c r="M2" i="5"/>
  <c r="N2" i="5"/>
  <c r="O2" i="5" s="1"/>
  <c r="P2" i="5" s="1"/>
  <c r="V10" i="2"/>
  <c r="D2" i="5"/>
  <c r="E2" i="5" s="1"/>
  <c r="F2" i="5" s="1"/>
  <c r="G2" i="5" s="1"/>
  <c r="B41" i="3"/>
  <c r="S11" i="2" l="1"/>
  <c r="S12" i="2" s="1"/>
  <c r="T11" i="2"/>
  <c r="T12" i="2" s="1"/>
  <c r="U11" i="2"/>
  <c r="U12" i="2" s="1"/>
  <c r="V11" i="2"/>
  <c r="V12" i="2" s="1"/>
  <c r="R11" i="2"/>
  <c r="R12" i="2" s="1"/>
  <c r="F11" i="2"/>
  <c r="F12" i="2" s="1"/>
  <c r="G11" i="2"/>
  <c r="G12" i="2" s="1"/>
  <c r="H11" i="2"/>
  <c r="H12" i="2" s="1"/>
  <c r="I11" i="2"/>
  <c r="I12" i="2" s="1"/>
  <c r="E11" i="2"/>
  <c r="E12" i="2" s="1"/>
  <c r="E6" i="2"/>
  <c r="F6" i="2"/>
  <c r="G6" i="2"/>
  <c r="H6" i="2"/>
  <c r="D6" i="2"/>
  <c r="T17" i="2"/>
  <c r="U17" i="2"/>
  <c r="V17" i="2"/>
  <c r="W17" i="2"/>
  <c r="T18" i="2"/>
  <c r="U18" i="2"/>
  <c r="V18" i="2"/>
  <c r="W18" i="2"/>
  <c r="T19" i="2"/>
  <c r="U19" i="2"/>
  <c r="V19" i="2"/>
  <c r="W19" i="2"/>
  <c r="S19" i="2"/>
  <c r="S18" i="2"/>
  <c r="S17" i="2"/>
  <c r="G19" i="2"/>
  <c r="H19" i="2"/>
  <c r="I19" i="2"/>
  <c r="J19" i="2"/>
  <c r="F19" i="2"/>
  <c r="G18" i="2"/>
  <c r="H18" i="2"/>
  <c r="I18" i="2"/>
  <c r="J18" i="2"/>
  <c r="F17" i="2"/>
  <c r="G17" i="2"/>
  <c r="H17" i="2"/>
  <c r="I17" i="2"/>
  <c r="J17" i="2"/>
  <c r="R6" i="2"/>
  <c r="S6" i="2"/>
  <c r="T6" i="2"/>
  <c r="U6" i="2"/>
  <c r="R5" i="2"/>
  <c r="S5" i="2"/>
  <c r="T5" i="2"/>
  <c r="U5" i="2"/>
  <c r="Q6" i="2"/>
  <c r="Q5" i="2"/>
  <c r="E5" i="2"/>
  <c r="F5" i="2"/>
  <c r="G5" i="2"/>
  <c r="H5" i="2"/>
  <c r="T16" i="2"/>
  <c r="U16" i="2" s="1"/>
  <c r="V16" i="2" s="1"/>
  <c r="W16" i="2" s="1"/>
  <c r="S10" i="2"/>
  <c r="T10" i="2" s="1"/>
  <c r="U10" i="2" s="1"/>
  <c r="R4" i="2"/>
  <c r="S4" i="2" s="1"/>
  <c r="T4" i="2" s="1"/>
  <c r="U4" i="2" s="1"/>
  <c r="G16" i="2"/>
  <c r="H16" i="2" s="1"/>
  <c r="I16" i="2" s="1"/>
  <c r="J16" i="2" s="1"/>
  <c r="F10" i="2"/>
  <c r="G10" i="2" s="1"/>
  <c r="H10" i="2" s="1"/>
  <c r="I10" i="2" s="1"/>
  <c r="E4" i="2"/>
  <c r="F4" i="2" s="1"/>
  <c r="G4" i="2" s="1"/>
  <c r="H4" i="2" s="1"/>
  <c r="B39" i="3"/>
  <c r="B23" i="1"/>
  <c r="E28" i="1"/>
  <c r="D28" i="1"/>
  <c r="C28" i="1"/>
  <c r="B28" i="1"/>
  <c r="B31" i="3"/>
  <c r="D23" i="1"/>
  <c r="E23" i="1"/>
  <c r="F23" i="1"/>
  <c r="C23" i="1"/>
  <c r="B27" i="3"/>
  <c r="E16" i="3"/>
  <c r="D16" i="3"/>
  <c r="C16" i="3"/>
  <c r="B16" i="3"/>
  <c r="E41" i="3"/>
  <c r="F41" i="3"/>
  <c r="C41" i="3"/>
  <c r="D41" i="3"/>
  <c r="F39" i="3"/>
  <c r="E39" i="3"/>
  <c r="E37" i="3"/>
  <c r="D39" i="3"/>
  <c r="C39" i="3"/>
  <c r="B37" i="3" l="1"/>
  <c r="D5" i="3" l="1"/>
  <c r="D10" i="3" s="1"/>
  <c r="D12" i="3" s="1"/>
  <c r="D14" i="3" s="1"/>
  <c r="E5" i="3"/>
  <c r="E10" i="3" s="1"/>
  <c r="E12" i="3" s="1"/>
  <c r="E14" i="3" s="1"/>
  <c r="F5" i="3"/>
  <c r="F10" i="3" s="1"/>
  <c r="F12" i="3" s="1"/>
  <c r="F14" i="3" s="1"/>
  <c r="C5" i="3"/>
  <c r="C10" i="3" s="1"/>
  <c r="C12" i="3" s="1"/>
  <c r="C14" i="3" s="1"/>
  <c r="B5" i="3"/>
  <c r="B10" i="3" s="1"/>
  <c r="B12" i="3" s="1"/>
  <c r="B14" i="3" s="1"/>
  <c r="D37" i="3"/>
  <c r="F37" i="3"/>
  <c r="C37" i="3"/>
  <c r="C31" i="3"/>
  <c r="D31" i="3"/>
  <c r="E31" i="3"/>
  <c r="F31" i="3"/>
  <c r="C22" i="3"/>
  <c r="C27" i="3" s="1"/>
  <c r="D22" i="3"/>
  <c r="D27" i="3" s="1"/>
  <c r="E22" i="3"/>
  <c r="E27" i="3" s="1"/>
  <c r="F22" i="3"/>
  <c r="F27" i="3" s="1"/>
  <c r="B22" i="3"/>
  <c r="C8" i="1" l="1"/>
  <c r="C9" i="1" s="1"/>
  <c r="C11" i="1" s="1"/>
  <c r="C13" i="1" s="1"/>
  <c r="D8" i="1"/>
  <c r="D9" i="1" s="1"/>
  <c r="D11" i="1" s="1"/>
  <c r="D13" i="1" s="1"/>
  <c r="E8" i="1"/>
  <c r="E9" i="1" s="1"/>
  <c r="E11" i="1" s="1"/>
  <c r="E13" i="1" s="1"/>
  <c r="F8" i="1"/>
  <c r="F9" i="1" s="1"/>
  <c r="F11" i="1" s="1"/>
  <c r="F13" i="1" s="1"/>
  <c r="B8" i="1"/>
  <c r="B5" i="1"/>
  <c r="B9" i="1" s="1"/>
  <c r="B11" i="1" l="1"/>
  <c r="B13" i="1" s="1"/>
</calcChain>
</file>

<file path=xl/sharedStrings.xml><?xml version="1.0" encoding="utf-8"?>
<sst xmlns="http://schemas.openxmlformats.org/spreadsheetml/2006/main" count="318" uniqueCount="143">
  <si>
    <t>Annual Data (USD millions)</t>
  </si>
  <si>
    <t>2025-12-31</t>
  </si>
  <si>
    <t>2024-12-31</t>
  </si>
  <si>
    <t>2023-12-31</t>
  </si>
  <si>
    <t>2022-12-31</t>
  </si>
  <si>
    <t>2021-12-31</t>
  </si>
  <si>
    <t>Revenue</t>
  </si>
  <si>
    <t>Cost Of Goods Sold</t>
  </si>
  <si>
    <t>Gross Profit</t>
  </si>
  <si>
    <t>Operating Income</t>
  </si>
  <si>
    <t>Total Non-Operating Income/Expense</t>
  </si>
  <si>
    <t>Pre-Tax Income</t>
  </si>
  <si>
    <t>Income Taxes</t>
  </si>
  <si>
    <t>Net Income</t>
  </si>
  <si>
    <t xml:space="preserve">    Research And Development Expenses</t>
  </si>
  <si>
    <t xml:space="preserve">     SG&amp;A Expenses</t>
  </si>
  <si>
    <t xml:space="preserve"> Operating Expenses</t>
  </si>
  <si>
    <t>Net Income / Loss</t>
  </si>
  <si>
    <t>Depreciation &amp; Amortization</t>
  </si>
  <si>
    <t>Other Non-Cash Items</t>
  </si>
  <si>
    <t>Total Non-Cash Items</t>
  </si>
  <si>
    <t>Change in Accounts Payable</t>
  </si>
  <si>
    <t>Change in Assets / Liabilities</t>
  </si>
  <si>
    <t>Total Change in Assets/Liabilities</t>
  </si>
  <si>
    <t>Cash Flow from Operating Activities (CFO)</t>
  </si>
  <si>
    <t>Net Change in PP&amp;E (Capex)</t>
  </si>
  <si>
    <t>Net Acquisitions / Divestitures</t>
  </si>
  <si>
    <t>–</t>
  </si>
  <si>
    <t>Net Change in Short-term Investments</t>
  </si>
  <si>
    <t>Net Change in Investments – Total</t>
  </si>
  <si>
    <t>Cash Flow from Investing Activities</t>
  </si>
  <si>
    <t>Net Long-Term Debt</t>
  </si>
  <si>
    <t>Net Common Equity Issued / Repurchased</t>
  </si>
  <si>
    <t>Cash Flow from Financing Activities</t>
  </si>
  <si>
    <t>Cost of Goods Sold</t>
  </si>
  <si>
    <t>Research &amp; Development Expenses</t>
  </si>
  <si>
    <t>SG&amp;A Expenses</t>
  </si>
  <si>
    <t>Other Operating Income / Expenses</t>
  </si>
  <si>
    <t>Operating Expenses</t>
  </si>
  <si>
    <t>Total Non-Operating Income / Expense</t>
  </si>
  <si>
    <t>Income After Taxes</t>
  </si>
  <si>
    <t>Change in Accounts Receivable</t>
  </si>
  <si>
    <t>Change in Inventories</t>
  </si>
  <si>
    <t>Net Change in Property, Plant &amp; Equipment (Capex)</t>
  </si>
  <si>
    <t>Net Change in Long-Term Investments</t>
  </si>
  <si>
    <t>Investing Activities – Other</t>
  </si>
  <si>
    <t>Net Current Debt</t>
  </si>
  <si>
    <t>Dividends Paid</t>
  </si>
  <si>
    <t>Financial Activities – Other</t>
  </si>
  <si>
    <t>Statement of Profit or Loss for the years ended 31 December</t>
  </si>
  <si>
    <t>Statement of Cash Flows for the years ended 31 December</t>
  </si>
  <si>
    <t>Income Taxes(expense or benefit)</t>
  </si>
  <si>
    <t>Net income from continuing operations attributable to noncontrolling and redeemable
noncontrolling interests</t>
  </si>
  <si>
    <t>Net Cash Flow(CFO+CFI+CFF)</t>
  </si>
  <si>
    <t>Cash &amp; Cash Equivalents at Beginning of Year</t>
  </si>
  <si>
    <t>Impact of exchange rates on cash, cash equivalents and restricted cash</t>
  </si>
  <si>
    <t>Cash &amp; Cash Equivalents at End of Year</t>
  </si>
  <si>
    <t>Financial Performance and Cash Flow Analysis</t>
  </si>
  <si>
    <t>Netflix</t>
  </si>
  <si>
    <t>Profitability Ratios (%)</t>
  </si>
  <si>
    <t>Metric</t>
  </si>
  <si>
    <t>Operating Margin</t>
  </si>
  <si>
    <t>Net Profit Margin</t>
  </si>
  <si>
    <t>Free Cash Flow (USD mn)</t>
  </si>
  <si>
    <t>Free Cash Flow Margin (%)</t>
  </si>
  <si>
    <t>Free Cash Flow Ratios(%)</t>
  </si>
  <si>
    <t>Cash Flow Quality Ratios(%)</t>
  </si>
  <si>
    <t xml:space="preserve">Operating Cash Flow Margin </t>
  </si>
  <si>
    <t xml:space="preserve">Operating Cash Flow / Net Income </t>
  </si>
  <si>
    <t>Cash Conversion Ratio(x)</t>
  </si>
  <si>
    <t xml:space="preserve">Operating Cash Flow / Net Income(x) </t>
  </si>
  <si>
    <t>Weak</t>
  </si>
  <si>
    <t>Average</t>
  </si>
  <si>
    <t>Strong</t>
  </si>
  <si>
    <t>Operating Margin (%)</t>
  </si>
  <si>
    <t>5% – 15%</t>
  </si>
  <si>
    <t>&gt; 15%</t>
  </si>
  <si>
    <t>Net Profit Margin (%)</t>
  </si>
  <si>
    <t>3% – 10%</t>
  </si>
  <si>
    <t>&gt; 10%</t>
  </si>
  <si>
    <t>CFO / Net Income</t>
  </si>
  <si>
    <t>&lt; 0.8x</t>
  </si>
  <si>
    <t>0.8x – 1.2x</t>
  </si>
  <si>
    <t>&gt; 1.2x</t>
  </si>
  <si>
    <t>Operating Cash Flow Margin (%)</t>
  </si>
  <si>
    <t>0% – 10%</t>
  </si>
  <si>
    <t>(Subscription / Service-Based Businesses)</t>
  </si>
  <si>
    <t>&lt;5</t>
  </si>
  <si>
    <t>&lt;3</t>
  </si>
  <si>
    <t>&lt;0.8x</t>
  </si>
  <si>
    <t>&lt;0</t>
  </si>
  <si>
    <t>Benchmark ranges are indicative reference thresholds commonly used in financial</t>
  </si>
  <si>
    <t>statement analysis for subscription-led and service-based businesses. They are not precise</t>
  </si>
  <si>
    <t>industry averages and are intended solely to support relative performance interpretation.</t>
  </si>
  <si>
    <r>
      <t xml:space="preserve">* </t>
    </r>
    <r>
      <rPr>
        <b/>
        <sz val="8"/>
        <color theme="1"/>
        <rFont val="Calibri"/>
        <family val="2"/>
        <scheme val="minor"/>
      </rPr>
      <t>Disclaimer / Note:</t>
    </r>
  </si>
  <si>
    <t>The Walt Disney Company</t>
  </si>
  <si>
    <t>Interpretation</t>
  </si>
  <si>
    <t>Ratio</t>
  </si>
  <si>
    <t>Trend</t>
  </si>
  <si>
    <t>Operating Margin(%)</t>
  </si>
  <si>
    <t>CFO/Net Income</t>
  </si>
  <si>
    <t>FCF Margin(%)</t>
  </si>
  <si>
    <t>↓ Deteriorating</t>
  </si>
  <si>
    <t>→</t>
  </si>
  <si>
    <t>↓</t>
  </si>
  <si>
    <t>↑</t>
  </si>
  <si>
    <t>↑Improving momentum</t>
  </si>
  <si>
    <t>↕ Volatile (Improving bias)</t>
  </si>
  <si>
    <t>↕ Volatile</t>
  </si>
  <si>
    <t>→ Stabilising</t>
  </si>
  <si>
    <t>&gt;1.2x</t>
  </si>
  <si>
    <t>Netflix operates a pure subscription-based digital model, while Disney runs a diversified, vertically integrated business spanning streaming, studios, parks, and consumer products. Despite generating nearly 20× lower revenue than Disney, Netflix delivers comparable profitability due to its significantly lower cost base, particularly in COGS, as it avoids physical infrastructure and asset-heavy operations.</t>
  </si>
  <si>
    <t>Operating and net margins show a consistent upward trend, reflecting improving operating leverage and disciplined cost control. This highlights Netflix’s ability to scale profits efficiently, even without the revenue breadth that Disney enjoys.</t>
  </si>
  <si>
    <t>This ratio shows volatility with an improving bias, highlighting timing differences between cash spending on content and profit recognition. While short-term fluctuations persist, the overall trend suggests that reported earnings are increasingly supported by operating cash flows rather than accounting adjustments.</t>
  </si>
  <si>
    <t>Free cash flow margin remains volatile, reflecting Netflix’s ongoing reinvestment in content. However, the positive directional bias indicates a gradual shift toward stronger free cash generation, suggesting that growth is becoming more internally funded rather than dependent on external financing.</t>
  </si>
  <si>
    <t>The stabilising trend in this ratio signals improving alignment between reported profits and underlying cash generation. This indicates that Netflix’s earnings quality is strengthening, with operating cash flows increasingly matching accounting profitability.</t>
  </si>
  <si>
    <t>The improving trend in operating cash flow margin confirms that revenue growth is translating into stronger cash generation. Netflix’s asset-light, subscription-driven model enables efficient cash extraction from operations compared to Disney’s diversified structure, which requires heavier ongoing investment.</t>
  </si>
  <si>
    <t>Cash conversion has improved from weaker levels, indicating better alignment between reported earnings and cash generation. However, the ratio remains below optimal, suggesting that while earnings quality is improving, profits are not yet fully translating into cash.</t>
  </si>
  <si>
    <t>Here the operating margin have improved from the year 2021 till 2025,reflecting recovery in core businesses such as parks and media. However, margins remain structurally constrained by Disney’s diversified and asset-heavy operating model, where fixed costs and operating complexity limit scalability compared to digital-first peers.</t>
  </si>
  <si>
    <t>Net profit margins have improved in line with operating performance, indicating that earnings recovery is being driven by core business operations. However, profitability remains sensitive to depreciation, interest expense, and business mix, reflecting the earnings variability inherent in Disney’s diversified operating structure.</t>
  </si>
  <si>
    <t>Operating cash flow consistently exceeds net income, indicating that reported earnings are cash-backed. However, the ratio shows pronounced volatility, reflecting timing effects from working capital movements and the capital-intensive nature of Disney’s diversified operations rather than stable cash conversion.</t>
  </si>
  <si>
    <t>The improvement in free cash flow margin reflects higher operating cash inflows alongside more normalised capital spending. This suggests that recent cash generation is supported by operating performance rather than deferred investment, although free cash flow remains closely linked to Disney’s ongoing reinvestment requirements across parks, content, and infrastructure.</t>
  </si>
  <si>
    <t>Operating cash flow remains higher than net income, indicating that earnings continue to be supported by cash generation. The ratio has become less erratic, suggesting a more stable relationship between profits and operating cash flows.</t>
  </si>
  <si>
    <t>Operating cash flow margin is trending upward, showing improved cash generation from core operations. This indicates that operating performance is increasingly translating into cash, despite the capital-intensive nature of Disney’s business.</t>
  </si>
  <si>
    <t>Cash conversion has moderated from earlier levels. While earnings continue to convert into cash, the downward trend reflects higher reinvestment and working capital absorption associated with Disney’s diversified operations.</t>
  </si>
  <si>
    <t>CFO / Net Income (x)</t>
  </si>
  <si>
    <t>Cash Conversion Ratio (x)</t>
  </si>
  <si>
    <t>KPIs (Latest Year – 2025)</t>
  </si>
  <si>
    <t>Key Questions Addressed by the Dashboard</t>
  </si>
  <si>
    <t>• How profitable are core operations in the latest year (2025)?</t>
  </si>
  <si>
    <t>• How much profit remains after all costs and taxes?</t>
  </si>
  <si>
    <t>• How effectively does revenue convert into operating cash?</t>
  </si>
  <si>
    <t>• How much cash is left after reinvestment (free cash flow)?</t>
  </si>
  <si>
    <t>• Are reported earnings supported by operating cash flows?</t>
  </si>
  <si>
    <t>• How efficiently are accounting profits converted into cash?</t>
  </si>
  <si>
    <t>=</t>
  </si>
  <si>
    <t xml:space="preserve"> Net Profit Margin (2025)</t>
  </si>
  <si>
    <t xml:space="preserve">Netflix             </t>
  </si>
  <si>
    <t>Years</t>
  </si>
  <si>
    <t>Benchmark</t>
  </si>
  <si>
    <t>Are reported earnings supported by operating cash flows</t>
  </si>
  <si>
    <t>number &gt; 1 → cash is strong</t>
  </si>
  <si>
    <t>If &lt; 1 → profit not fully backed by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</si>
</sst>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0_);_(&quot;$&quot;* \(#,##0.0\);_(&quot;$&quot;* &quot;-&quot;??_);_(@_)"/>
    <numFmt numFmtId="165" formatCode="0.0%"/>
    <numFmt numFmtId="166"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2"/>
      <color rgb="FFFFFFFF"/>
      <name val="Aptos Display"/>
      <family val="2"/>
    </font>
    <font>
      <sz val="8"/>
      <color theme="1"/>
      <name val="Calibri"/>
      <family val="2"/>
      <scheme val="minor"/>
    </font>
    <font>
      <sz val="9"/>
      <color theme="1"/>
      <name val="Calibri"/>
      <family val="2"/>
      <scheme val="minor"/>
    </font>
    <font>
      <b/>
      <sz val="9"/>
      <color theme="1"/>
      <name val="Calibri"/>
      <family val="2"/>
      <scheme val="minor"/>
    </font>
    <font>
      <b/>
      <sz val="8"/>
      <color theme="1"/>
      <name val="Calibri"/>
      <family val="2"/>
      <scheme val="minor"/>
    </font>
    <font>
      <b/>
      <i/>
      <u/>
      <sz val="12"/>
      <color theme="1"/>
      <name val="Calibri"/>
      <family val="2"/>
      <scheme val="minor"/>
    </font>
    <font>
      <b/>
      <i/>
      <u/>
      <sz val="11"/>
      <color theme="1"/>
      <name val="Calibri"/>
      <family val="2"/>
      <scheme val="minor"/>
    </font>
    <font>
      <sz val="10"/>
      <color theme="1"/>
      <name val="Abadi"/>
      <family val="2"/>
    </font>
    <font>
      <sz val="11"/>
      <color theme="1"/>
      <name val="Abadi"/>
      <family val="2"/>
    </font>
    <font>
      <b/>
      <u/>
      <sz val="11"/>
      <color theme="1"/>
      <name val="Calibri"/>
      <family val="2"/>
      <scheme val="minor"/>
    </font>
    <font>
      <sz val="11"/>
      <color theme="1"/>
      <name val="AngsanaUPC"/>
      <family val="1"/>
      <charset val="222"/>
    </font>
    <font>
      <b/>
      <i/>
      <u/>
      <sz val="12"/>
      <color theme="0"/>
      <name val="Calibri"/>
      <family val="2"/>
      <scheme val="minor"/>
    </font>
    <font>
      <b/>
      <i/>
      <u/>
      <sz val="11"/>
      <color theme="0"/>
      <name val="Calibri"/>
      <family val="2"/>
      <scheme val="minor"/>
    </font>
    <font>
      <b/>
      <i/>
      <sz val="9"/>
      <color theme="1"/>
      <name val="Calibri"/>
      <family val="2"/>
      <scheme val="minor"/>
    </font>
    <font>
      <b/>
      <i/>
      <sz val="11"/>
      <color theme="1"/>
      <name val="Calibri"/>
      <family val="2"/>
      <scheme val="minor"/>
    </font>
    <font>
      <b/>
      <sz val="10"/>
      <color theme="1"/>
      <name val="Abadi"/>
      <family val="2"/>
    </font>
  </fonts>
  <fills count="7">
    <fill>
      <patternFill patternType="none"/>
    </fill>
    <fill>
      <patternFill patternType="gray125"/>
    </fill>
    <fill>
      <patternFill patternType="solid">
        <fgColor rgb="FF1F3864"/>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6" tint="-0.249977111117893"/>
        <bgColor indexed="64"/>
      </patternFill>
    </fill>
    <fill>
      <patternFill patternType="solid">
        <fgColor theme="6" tint="-0.499984740745262"/>
        <bgColor indexed="64"/>
      </patternFill>
    </fill>
  </fills>
  <borders count="27">
    <border>
      <left/>
      <right/>
      <top/>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thin">
        <color theme="0" tint="-0.249977111117893"/>
      </left>
      <right/>
      <top style="medium">
        <color rgb="FFCCCCCC"/>
      </top>
      <bottom style="medium">
        <color rgb="FFCCCCCC"/>
      </bottom>
      <diagonal/>
    </border>
    <border>
      <left/>
      <right/>
      <top style="medium">
        <color rgb="FFCCCCCC"/>
      </top>
      <bottom style="medium">
        <color rgb="FFCCCCCC"/>
      </bottom>
      <diagonal/>
    </border>
    <border>
      <left/>
      <right style="thin">
        <color theme="0" tint="-0.249977111117893"/>
      </right>
      <top style="medium">
        <color rgb="FFCCCCCC"/>
      </top>
      <bottom style="medium">
        <color rgb="FFCCCCCC"/>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Dashed">
        <color indexed="64"/>
      </right>
      <top style="medium">
        <color indexed="64"/>
      </top>
      <bottom/>
      <diagonal/>
    </border>
    <border>
      <left/>
      <right style="mediumDashed">
        <color indexed="64"/>
      </right>
      <top/>
      <bottom/>
      <diagonal/>
    </border>
    <border>
      <left style="mediumDashed">
        <color indexed="64"/>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Dashed">
        <color indexed="64"/>
      </left>
      <right/>
      <top style="medium">
        <color indexed="64"/>
      </top>
      <bottom/>
      <diagonal/>
    </border>
    <border>
      <left style="thin">
        <color indexed="64"/>
      </left>
      <right/>
      <top/>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5">
    <xf numFmtId="0" fontId="0" fillId="0" borderId="0" xfId="0"/>
    <xf numFmtId="0" fontId="0" fillId="0" borderId="0" xfId="0" applyAlignment="1">
      <alignment horizontal="center" vertical="center"/>
    </xf>
    <xf numFmtId="164" fontId="2" fillId="0" borderId="0" xfId="1" applyNumberFormat="1" applyFont="1" applyAlignment="1">
      <alignment horizontal="center" vertical="center"/>
    </xf>
    <xf numFmtId="164" fontId="0" fillId="0" borderId="0" xfId="1" applyNumberFormat="1" applyFont="1" applyAlignment="1">
      <alignment horizontal="center" vertical="center"/>
    </xf>
    <xf numFmtId="0" fontId="0" fillId="0" borderId="0" xfId="0" applyAlignment="1">
      <alignment vertical="center" wrapText="1"/>
    </xf>
    <xf numFmtId="0" fontId="2" fillId="0" borderId="0" xfId="0" applyFont="1" applyAlignment="1">
      <alignment vertical="center" wrapText="1"/>
    </xf>
    <xf numFmtId="44" fontId="0" fillId="0" borderId="0" xfId="1" applyFont="1" applyAlignment="1">
      <alignment horizontal="right" vertical="center" wrapText="1"/>
    </xf>
    <xf numFmtId="44" fontId="2" fillId="0" borderId="0" xfId="1" applyFont="1" applyAlignment="1">
      <alignment horizontal="right" vertical="center" wrapText="1"/>
    </xf>
    <xf numFmtId="0" fontId="0" fillId="0" borderId="0" xfId="0" applyAlignment="1">
      <alignment horizontal="left"/>
    </xf>
    <xf numFmtId="0" fontId="5" fillId="0" borderId="0" xfId="0" applyFont="1" applyAlignment="1">
      <alignment horizontal="left"/>
    </xf>
    <xf numFmtId="0" fontId="2" fillId="0" borderId="7" xfId="0" applyFont="1" applyBorder="1" applyAlignment="1">
      <alignment vertical="center" wrapText="1"/>
    </xf>
    <xf numFmtId="44" fontId="0" fillId="0" borderId="0" xfId="1" applyFont="1" applyBorder="1" applyAlignment="1">
      <alignment horizontal="right" vertical="center" wrapText="1"/>
    </xf>
    <xf numFmtId="0" fontId="0" fillId="0" borderId="9" xfId="0" applyBorder="1" applyAlignment="1">
      <alignment vertical="center" wrapText="1"/>
    </xf>
    <xf numFmtId="44" fontId="0" fillId="0" borderId="9" xfId="1" applyFont="1" applyBorder="1" applyAlignment="1">
      <alignment horizontal="right" vertical="center" wrapText="1"/>
    </xf>
    <xf numFmtId="0" fontId="2" fillId="0" borderId="8" xfId="0" applyFont="1" applyBorder="1" applyAlignment="1">
      <alignment vertical="center" wrapText="1"/>
    </xf>
    <xf numFmtId="44" fontId="2" fillId="0" borderId="8" xfId="1" applyFont="1" applyBorder="1" applyAlignment="1">
      <alignment horizontal="right" vertical="center" wrapText="1"/>
    </xf>
    <xf numFmtId="0" fontId="2" fillId="0" borderId="9" xfId="0" applyFont="1" applyBorder="1" applyAlignment="1">
      <alignment vertical="center" wrapText="1"/>
    </xf>
    <xf numFmtId="44" fontId="2" fillId="0" borderId="0" xfId="1" applyFont="1" applyBorder="1" applyAlignment="1">
      <alignment horizontal="right" vertical="center" wrapText="1"/>
    </xf>
    <xf numFmtId="44" fontId="2" fillId="0" borderId="9" xfId="1" applyFont="1" applyBorder="1" applyAlignment="1">
      <alignment horizontal="right" vertical="center" wrapText="1"/>
    </xf>
    <xf numFmtId="0" fontId="0" fillId="0" borderId="8" xfId="0" applyBorder="1" applyAlignment="1">
      <alignment vertical="center" wrapText="1"/>
    </xf>
    <xf numFmtId="0" fontId="2" fillId="0" borderId="10" xfId="0" applyFont="1" applyBorder="1" applyAlignment="1">
      <alignment vertical="center" wrapText="1"/>
    </xf>
    <xf numFmtId="164" fontId="0" fillId="0" borderId="9" xfId="1" applyNumberFormat="1" applyFont="1" applyBorder="1" applyAlignment="1">
      <alignment horizontal="center" vertical="center"/>
    </xf>
    <xf numFmtId="164" fontId="2" fillId="0" borderId="8" xfId="1" applyNumberFormat="1" applyFont="1" applyBorder="1" applyAlignment="1">
      <alignment horizontal="center" vertical="center"/>
    </xf>
    <xf numFmtId="0" fontId="2" fillId="0" borderId="0" xfId="0" applyFont="1"/>
    <xf numFmtId="0" fontId="0" fillId="0" borderId="9" xfId="0" applyBorder="1"/>
    <xf numFmtId="0" fontId="0" fillId="0" borderId="10" xfId="0" applyBorder="1"/>
    <xf numFmtId="0" fontId="2" fillId="0" borderId="9" xfId="0" applyFont="1" applyBorder="1"/>
    <xf numFmtId="0" fontId="2" fillId="0" borderId="8" xfId="0" applyFont="1" applyBorder="1"/>
    <xf numFmtId="44" fontId="0" fillId="0" borderId="0" xfId="0" applyNumberFormat="1"/>
    <xf numFmtId="44" fontId="0" fillId="0" borderId="0" xfId="1" applyFont="1" applyFill="1" applyBorder="1" applyAlignment="1">
      <alignment horizontal="right" vertical="center" wrapText="1"/>
    </xf>
    <xf numFmtId="0" fontId="2" fillId="0" borderId="7" xfId="0" applyFont="1" applyBorder="1"/>
    <xf numFmtId="4" fontId="0" fillId="0" borderId="0" xfId="0" applyNumberFormat="1"/>
    <xf numFmtId="4" fontId="0" fillId="0" borderId="9" xfId="0" applyNumberFormat="1" applyBorder="1"/>
    <xf numFmtId="4" fontId="2" fillId="0" borderId="8" xfId="0" applyNumberFormat="1" applyFont="1" applyBorder="1"/>
    <xf numFmtId="4" fontId="2" fillId="0" borderId="8" xfId="0" applyNumberFormat="1" applyFont="1" applyBorder="1" applyAlignment="1">
      <alignment vertical="center" wrapText="1"/>
    </xf>
    <xf numFmtId="44" fontId="1" fillId="0" borderId="0" xfId="1" applyFont="1" applyBorder="1" applyAlignment="1">
      <alignment horizontal="right" vertical="center" wrapText="1"/>
    </xf>
    <xf numFmtId="44" fontId="1" fillId="0" borderId="0" xfId="1" applyFont="1" applyAlignment="1">
      <alignment horizontal="right" vertical="center" wrapText="1"/>
    </xf>
    <xf numFmtId="0" fontId="0" fillId="0" borderId="13" xfId="0" applyBorder="1"/>
    <xf numFmtId="0" fontId="0" fillId="0" borderId="0" xfId="0" applyAlignment="1">
      <alignment horizontal="left" vertical="top"/>
    </xf>
    <xf numFmtId="0" fontId="0" fillId="0" borderId="0" xfId="0" applyAlignment="1">
      <alignment horizontal="center" vertical="top"/>
    </xf>
    <xf numFmtId="0" fontId="0" fillId="0" borderId="9" xfId="0" applyBorder="1" applyAlignment="1">
      <alignment horizontal="left" vertical="top"/>
    </xf>
    <xf numFmtId="0" fontId="0" fillId="3" borderId="9" xfId="0" applyFill="1" applyBorder="1" applyAlignment="1">
      <alignment horizontal="left" vertical="top"/>
    </xf>
    <xf numFmtId="0" fontId="2" fillId="3" borderId="9" xfId="0" applyFont="1" applyFill="1" applyBorder="1" applyAlignment="1">
      <alignment vertical="center"/>
    </xf>
    <xf numFmtId="0" fontId="2" fillId="0" borderId="10" xfId="0" applyFont="1" applyBorder="1"/>
    <xf numFmtId="0" fontId="0" fillId="3" borderId="0" xfId="0" applyFill="1" applyAlignment="1">
      <alignment horizontal="center" vertical="top"/>
    </xf>
    <xf numFmtId="165" fontId="0" fillId="0" borderId="11" xfId="2" applyNumberFormat="1" applyFont="1" applyBorder="1"/>
    <xf numFmtId="10" fontId="0" fillId="0" borderId="11" xfId="2" applyNumberFormat="1" applyFont="1" applyBorder="1"/>
    <xf numFmtId="2" fontId="0" fillId="0" borderId="11" xfId="0" applyNumberFormat="1" applyBorder="1"/>
    <xf numFmtId="0" fontId="2" fillId="0" borderId="11" xfId="0" applyFont="1" applyBorder="1"/>
    <xf numFmtId="166" fontId="0" fillId="0" borderId="11" xfId="2" applyNumberFormat="1" applyFont="1" applyBorder="1"/>
    <xf numFmtId="0" fontId="0" fillId="0" borderId="14" xfId="0" applyBorder="1"/>
    <xf numFmtId="0" fontId="0" fillId="0" borderId="15" xfId="0" applyBorder="1"/>
    <xf numFmtId="0" fontId="0" fillId="0" borderId="16" xfId="0" applyBorder="1" applyAlignment="1">
      <alignment horizontal="center" vertical="top"/>
    </xf>
    <xf numFmtId="44" fontId="2" fillId="0" borderId="8" xfId="1" applyFont="1" applyFill="1" applyBorder="1" applyAlignment="1">
      <alignment horizontal="right" vertical="center" wrapText="1"/>
    </xf>
    <xf numFmtId="0" fontId="0" fillId="0" borderId="0" xfId="0" applyAlignment="1">
      <alignment horizontal="center"/>
    </xf>
    <xf numFmtId="0" fontId="7" fillId="0" borderId="17" xfId="0" applyFont="1" applyBorder="1"/>
    <xf numFmtId="0" fontId="6" fillId="0" borderId="17" xfId="0" applyFont="1" applyBorder="1" applyAlignment="1">
      <alignment horizontal="center" vertical="top"/>
    </xf>
    <xf numFmtId="0" fontId="6" fillId="0" borderId="23" xfId="0" applyFont="1" applyBorder="1" applyAlignment="1">
      <alignment horizontal="center" vertical="top"/>
    </xf>
    <xf numFmtId="0" fontId="6" fillId="0" borderId="22" xfId="0" applyFont="1" applyBorder="1" applyAlignment="1">
      <alignment horizontal="center" vertical="top"/>
    </xf>
    <xf numFmtId="0" fontId="6" fillId="0" borderId="19" xfId="0" applyFont="1" applyBorder="1" applyAlignment="1">
      <alignment horizontal="center" vertical="top"/>
    </xf>
    <xf numFmtId="0" fontId="6" fillId="0" borderId="17" xfId="0" applyFont="1" applyBorder="1" applyAlignment="1">
      <alignment horizontal="center"/>
    </xf>
    <xf numFmtId="0" fontId="6" fillId="0" borderId="17" xfId="0" applyFont="1" applyBorder="1" applyAlignment="1">
      <alignment horizontal="center" vertical="center"/>
    </xf>
    <xf numFmtId="0" fontId="5" fillId="0" borderId="0" xfId="0" applyFont="1"/>
    <xf numFmtId="0" fontId="5" fillId="0" borderId="18" xfId="0" applyFont="1" applyBorder="1"/>
    <xf numFmtId="0" fontId="0" fillId="0" borderId="24" xfId="0" applyBorder="1" applyAlignment="1">
      <alignment horizontal="center" vertical="top"/>
    </xf>
    <xf numFmtId="0" fontId="10" fillId="0" borderId="10" xfId="0" applyFont="1" applyBorder="1"/>
    <xf numFmtId="0" fontId="8" fillId="0" borderId="0" xfId="0" applyFont="1"/>
    <xf numFmtId="0" fontId="7" fillId="4" borderId="17" xfId="0" applyFont="1" applyFill="1" applyBorder="1" applyAlignment="1">
      <alignment horizontal="center" vertical="center"/>
    </xf>
    <xf numFmtId="0" fontId="0" fillId="0" borderId="25" xfId="0" applyBorder="1"/>
    <xf numFmtId="9" fontId="6" fillId="0" borderId="17" xfId="2" applyFont="1" applyBorder="1" applyAlignment="1">
      <alignment horizontal="center" vertical="center"/>
    </xf>
    <xf numFmtId="0" fontId="5" fillId="0" borderId="0" xfId="0" applyFont="1" applyAlignment="1">
      <alignment horizontal="left" vertical="top" wrapText="1"/>
    </xf>
    <xf numFmtId="0" fontId="5" fillId="0" borderId="23" xfId="0" applyFont="1" applyBorder="1" applyAlignment="1">
      <alignment horizontal="left" vertical="top" wrapText="1"/>
    </xf>
    <xf numFmtId="0" fontId="5" fillId="0" borderId="17" xfId="0" applyFont="1" applyBorder="1" applyAlignment="1">
      <alignment horizontal="left" vertical="top" wrapText="1"/>
    </xf>
    <xf numFmtId="0" fontId="0" fillId="0" borderId="19" xfId="0" applyBorder="1" applyAlignment="1">
      <alignment horizontal="center"/>
    </xf>
    <xf numFmtId="0" fontId="5" fillId="0" borderId="0" xfId="0" applyFont="1" applyAlignment="1">
      <alignment wrapText="1"/>
    </xf>
    <xf numFmtId="0" fontId="2" fillId="5" borderId="0" xfId="0" applyFont="1" applyFill="1"/>
    <xf numFmtId="0" fontId="11" fillId="0" borderId="0" xfId="0" applyFont="1"/>
    <xf numFmtId="0" fontId="12" fillId="0" borderId="0" xfId="0" applyFont="1"/>
    <xf numFmtId="165" fontId="0" fillId="0" borderId="0" xfId="2" applyNumberFormat="1" applyFont="1" applyBorder="1"/>
    <xf numFmtId="10" fontId="0" fillId="0" borderId="0" xfId="2" applyNumberFormat="1" applyFont="1"/>
    <xf numFmtId="2" fontId="0" fillId="0" borderId="0" xfId="0" applyNumberFormat="1"/>
    <xf numFmtId="0" fontId="14" fillId="0" borderId="0" xfId="0" applyFont="1"/>
    <xf numFmtId="0" fontId="11" fillId="0" borderId="0" xfId="0" applyFont="1" applyAlignment="1">
      <alignment horizontal="center"/>
    </xf>
    <xf numFmtId="0" fontId="10" fillId="0" borderId="0" xfId="0" applyFont="1" applyAlignment="1">
      <alignment horizontal="center"/>
    </xf>
    <xf numFmtId="0" fontId="17" fillId="4" borderId="17" xfId="0" applyFont="1" applyFill="1" applyBorder="1" applyAlignment="1">
      <alignment horizontal="center" vertical="center"/>
    </xf>
    <xf numFmtId="0" fontId="17" fillId="4" borderId="17" xfId="0" applyFont="1" applyFill="1" applyBorder="1" applyAlignment="1">
      <alignment horizontal="center"/>
    </xf>
    <xf numFmtId="0" fontId="2" fillId="0" borderId="0" xfId="0" applyFont="1" applyAlignment="1">
      <alignment horizontal="center"/>
    </xf>
    <xf numFmtId="0" fontId="18" fillId="0" borderId="0" xfId="0" applyFont="1" applyAlignment="1">
      <alignment horizontal="center"/>
    </xf>
    <xf numFmtId="165" fontId="0" fillId="0" borderId="0" xfId="2" applyNumberFormat="1" applyFont="1"/>
    <xf numFmtId="165" fontId="0" fillId="0" borderId="0" xfId="0" applyNumberFormat="1" applyAlignment="1">
      <alignment horizontal="center"/>
    </xf>
    <xf numFmtId="0" fontId="2" fillId="0" borderId="0" xfId="0" applyFont="1" applyAlignment="1">
      <alignment horizontal="center" vertical="center"/>
    </xf>
    <xf numFmtId="0" fontId="19" fillId="0" borderId="0" xfId="0" applyFont="1" applyAlignment="1">
      <alignment horizontal="right"/>
    </xf>
    <xf numFmtId="166" fontId="0" fillId="0" borderId="0" xfId="0" applyNumberFormat="1"/>
    <xf numFmtId="0" fontId="19" fillId="0" borderId="0" xfId="0" applyFont="1" applyAlignment="1">
      <alignment horizontal="center"/>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0" borderId="8" xfId="0" applyBorder="1" applyAlignment="1">
      <alignment horizontal="center"/>
    </xf>
    <xf numFmtId="0" fontId="0" fillId="0" borderId="12" xfId="0" applyBorder="1" applyAlignment="1">
      <alignment horizontal="center"/>
    </xf>
    <xf numFmtId="0" fontId="9" fillId="0" borderId="10" xfId="0" applyFont="1" applyBorder="1" applyAlignment="1">
      <alignment horizontal="center"/>
    </xf>
    <xf numFmtId="0" fontId="0" fillId="0" borderId="11" xfId="0" applyBorder="1" applyAlignment="1">
      <alignment horizontal="center"/>
    </xf>
    <xf numFmtId="0" fontId="0" fillId="0" borderId="0" xfId="0" applyAlignment="1">
      <alignment horizontal="center" vertical="top"/>
    </xf>
    <xf numFmtId="0" fontId="0" fillId="0" borderId="7" xfId="0" applyBorder="1" applyAlignment="1">
      <alignment horizontal="center"/>
    </xf>
    <xf numFmtId="0" fontId="0" fillId="0" borderId="0" xfId="0" applyAlignment="1">
      <alignment horizontal="left"/>
    </xf>
    <xf numFmtId="0" fontId="2" fillId="0" borderId="8"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center" vertical="center" wrapText="1"/>
    </xf>
    <xf numFmtId="0" fontId="6" fillId="0" borderId="20" xfId="0" applyFont="1" applyBorder="1" applyAlignment="1">
      <alignment horizontal="left"/>
    </xf>
    <xf numFmtId="0" fontId="6" fillId="0" borderId="21" xfId="0" applyFont="1" applyBorder="1" applyAlignment="1">
      <alignment horizontal="left"/>
    </xf>
    <xf numFmtId="0" fontId="6" fillId="0" borderId="26" xfId="0" applyFont="1" applyBorder="1" applyAlignment="1">
      <alignment horizontal="center"/>
    </xf>
    <xf numFmtId="0" fontId="5" fillId="0" borderId="0" xfId="0" applyFont="1"/>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6" fillId="0" borderId="20" xfId="0" applyFont="1" applyBorder="1"/>
    <xf numFmtId="0" fontId="6" fillId="0" borderId="21" xfId="0" applyFont="1" applyBorder="1"/>
    <xf numFmtId="0" fontId="16" fillId="6" borderId="26" xfId="0" applyFont="1" applyFill="1" applyBorder="1" applyAlignment="1">
      <alignment horizontal="center" vertical="center"/>
    </xf>
    <xf numFmtId="0" fontId="10" fillId="6" borderId="26" xfId="0" applyFont="1" applyFill="1" applyBorder="1" applyAlignment="1">
      <alignment horizontal="center" vertical="center"/>
    </xf>
    <xf numFmtId="0" fontId="15" fillId="6" borderId="26" xfId="0" applyFont="1" applyFill="1" applyBorder="1" applyAlignment="1">
      <alignment horizontal="center" vertical="center"/>
    </xf>
    <xf numFmtId="0" fontId="9" fillId="6" borderId="26" xfId="0" applyFont="1" applyFill="1" applyBorder="1" applyAlignment="1">
      <alignment horizontal="center" vertical="center"/>
    </xf>
    <xf numFmtId="0" fontId="13" fillId="0" borderId="0" xfId="0" applyFont="1" applyAlignment="1">
      <alignment horizontal="center" wrapText="1"/>
    </xf>
    <xf numFmtId="0" fontId="10" fillId="0" borderId="10" xfId="0" applyFont="1" applyBorder="1" applyAlignment="1">
      <alignment horizontal="center"/>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mn-ea"/>
                <a:cs typeface="+mn-cs"/>
              </a:defRPr>
            </a:pPr>
            <a:r>
              <a:rPr lang="en-US" sz="800" b="0" i="0" u="sng" strike="noStrike" baseline="0"/>
              <a:t>Net Profit Margin – Profit After All Costs &amp; Taxes</a:t>
            </a:r>
            <a:endParaRPr lang="en-US" sz="800" u="sng"/>
          </a:p>
        </c:rich>
      </c:tx>
      <c:layout>
        <c:manualLayout>
          <c:xMode val="edge"/>
          <c:yMode val="edge"/>
          <c:x val="0.30893044619422572"/>
          <c:y val="2.7777777777777776E-2"/>
        </c:manualLayout>
      </c:layout>
      <c:overlay val="0"/>
      <c:spPr>
        <a:noFill/>
        <a:ln>
          <a:noFill/>
        </a:ln>
        <a:effectLst/>
      </c:spPr>
      <c:txPr>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KPIs_Qs!$C$27</c:f>
              <c:strCache>
                <c:ptCount val="1"/>
                <c:pt idx="0">
                  <c:v>2025</c:v>
                </c:pt>
              </c:strCache>
            </c:strRef>
          </c:tx>
          <c:spPr>
            <a:solidFill>
              <a:schemeClr val="accent3">
                <a:shade val="53000"/>
              </a:schemeClr>
            </a:solidFill>
            <a:ln>
              <a:noFill/>
            </a:ln>
            <a:effectLst/>
          </c:spPr>
          <c:invertIfNegative val="0"/>
          <c:cat>
            <c:strRef>
              <c:f>KPIs_Qs!$B$28:$B$29</c:f>
              <c:strCache>
                <c:ptCount val="2"/>
                <c:pt idx="0">
                  <c:v>Netflix             </c:v>
                </c:pt>
                <c:pt idx="1">
                  <c:v>The Walt Disney Company</c:v>
                </c:pt>
              </c:strCache>
            </c:strRef>
          </c:cat>
          <c:val>
            <c:numRef>
              <c:f>KPIs_Qs!$C$28:$C$29</c:f>
              <c:numCache>
                <c:formatCode>0.0%</c:formatCode>
                <c:ptCount val="2"/>
                <c:pt idx="0">
                  <c:v>0.243038184239042</c:v>
                </c:pt>
                <c:pt idx="1">
                  <c:v>0.1313635160180037</c:v>
                </c:pt>
              </c:numCache>
            </c:numRef>
          </c:val>
          <c:extLst>
            <c:ext xmlns:c16="http://schemas.microsoft.com/office/drawing/2014/chart" uri="{C3380CC4-5D6E-409C-BE32-E72D297353CC}">
              <c16:uniqueId val="{00000000-7BD0-42C7-8DDD-7A13FF2F4A29}"/>
            </c:ext>
          </c:extLst>
        </c:ser>
        <c:ser>
          <c:idx val="1"/>
          <c:order val="1"/>
          <c:tx>
            <c:strRef>
              <c:f>KPIs_Qs!$D$27</c:f>
              <c:strCache>
                <c:ptCount val="1"/>
                <c:pt idx="0">
                  <c:v>2024</c:v>
                </c:pt>
              </c:strCache>
            </c:strRef>
          </c:tx>
          <c:spPr>
            <a:solidFill>
              <a:schemeClr val="accent3">
                <a:shade val="76000"/>
              </a:schemeClr>
            </a:solidFill>
            <a:ln>
              <a:noFill/>
            </a:ln>
            <a:effectLst/>
          </c:spPr>
          <c:invertIfNegative val="0"/>
          <c:cat>
            <c:strRef>
              <c:f>KPIs_Qs!$B$28:$B$29</c:f>
              <c:strCache>
                <c:ptCount val="2"/>
                <c:pt idx="0">
                  <c:v>Netflix             </c:v>
                </c:pt>
                <c:pt idx="1">
                  <c:v>The Walt Disney Company</c:v>
                </c:pt>
              </c:strCache>
            </c:strRef>
          </c:cat>
          <c:val>
            <c:numRef>
              <c:f>KPIs_Qs!$D$28:$D$29</c:f>
              <c:numCache>
                <c:formatCode>0.0%</c:formatCode>
                <c:ptCount val="2"/>
                <c:pt idx="0">
                  <c:v>0.22336960423538296</c:v>
                </c:pt>
                <c:pt idx="1">
                  <c:v>5.4421470868313615E-2</c:v>
                </c:pt>
              </c:numCache>
            </c:numRef>
          </c:val>
          <c:extLst>
            <c:ext xmlns:c16="http://schemas.microsoft.com/office/drawing/2014/chart" uri="{C3380CC4-5D6E-409C-BE32-E72D297353CC}">
              <c16:uniqueId val="{00000001-7BD0-42C7-8DDD-7A13FF2F4A29}"/>
            </c:ext>
          </c:extLst>
        </c:ser>
        <c:ser>
          <c:idx val="2"/>
          <c:order val="2"/>
          <c:tx>
            <c:strRef>
              <c:f>KPIs_Qs!$E$27</c:f>
              <c:strCache>
                <c:ptCount val="1"/>
                <c:pt idx="0">
                  <c:v>2023</c:v>
                </c:pt>
              </c:strCache>
            </c:strRef>
          </c:tx>
          <c:spPr>
            <a:solidFill>
              <a:schemeClr val="accent3"/>
            </a:solidFill>
            <a:ln>
              <a:noFill/>
            </a:ln>
            <a:effectLst/>
          </c:spPr>
          <c:invertIfNegative val="0"/>
          <c:cat>
            <c:strRef>
              <c:f>KPIs_Qs!$B$28:$B$29</c:f>
              <c:strCache>
                <c:ptCount val="2"/>
                <c:pt idx="0">
                  <c:v>Netflix             </c:v>
                </c:pt>
                <c:pt idx="1">
                  <c:v>The Walt Disney Company</c:v>
                </c:pt>
              </c:strCache>
            </c:strRef>
          </c:cat>
          <c:val>
            <c:numRef>
              <c:f>KPIs_Qs!$E$28:$E$29</c:f>
              <c:numCache>
                <c:formatCode>0.0%</c:formatCode>
                <c:ptCount val="2"/>
                <c:pt idx="0">
                  <c:v>0.16036363582448931</c:v>
                </c:pt>
                <c:pt idx="1">
                  <c:v>2.6479785821953251E-2</c:v>
                </c:pt>
              </c:numCache>
            </c:numRef>
          </c:val>
          <c:extLst>
            <c:ext xmlns:c16="http://schemas.microsoft.com/office/drawing/2014/chart" uri="{C3380CC4-5D6E-409C-BE32-E72D297353CC}">
              <c16:uniqueId val="{00000002-7BD0-42C7-8DDD-7A13FF2F4A29}"/>
            </c:ext>
          </c:extLst>
        </c:ser>
        <c:ser>
          <c:idx val="3"/>
          <c:order val="3"/>
          <c:tx>
            <c:strRef>
              <c:f>KPIs_Qs!$F$27</c:f>
              <c:strCache>
                <c:ptCount val="1"/>
                <c:pt idx="0">
                  <c:v>2022</c:v>
                </c:pt>
              </c:strCache>
            </c:strRef>
          </c:tx>
          <c:spPr>
            <a:solidFill>
              <a:schemeClr val="accent3">
                <a:tint val="77000"/>
              </a:schemeClr>
            </a:solidFill>
            <a:ln>
              <a:noFill/>
            </a:ln>
            <a:effectLst/>
          </c:spPr>
          <c:invertIfNegative val="0"/>
          <c:cat>
            <c:strRef>
              <c:f>KPIs_Qs!$B$28:$B$29</c:f>
              <c:strCache>
                <c:ptCount val="2"/>
                <c:pt idx="0">
                  <c:v>Netflix             </c:v>
                </c:pt>
                <c:pt idx="1">
                  <c:v>The Walt Disney Company</c:v>
                </c:pt>
              </c:strCache>
            </c:strRef>
          </c:cat>
          <c:val>
            <c:numRef>
              <c:f>KPIs_Qs!$F$28:$F$29</c:f>
              <c:numCache>
                <c:formatCode>0.0%</c:formatCode>
                <c:ptCount val="2"/>
                <c:pt idx="0">
                  <c:v>0.14207973607923949</c:v>
                </c:pt>
                <c:pt idx="1">
                  <c:v>3.8018906699547883E-2</c:v>
                </c:pt>
              </c:numCache>
            </c:numRef>
          </c:val>
          <c:extLst>
            <c:ext xmlns:c16="http://schemas.microsoft.com/office/drawing/2014/chart" uri="{C3380CC4-5D6E-409C-BE32-E72D297353CC}">
              <c16:uniqueId val="{00000003-7BD0-42C7-8DDD-7A13FF2F4A29}"/>
            </c:ext>
          </c:extLst>
        </c:ser>
        <c:ser>
          <c:idx val="4"/>
          <c:order val="4"/>
          <c:tx>
            <c:strRef>
              <c:f>KPIs_Qs!$G$27</c:f>
              <c:strCache>
                <c:ptCount val="1"/>
                <c:pt idx="0">
                  <c:v>2021</c:v>
                </c:pt>
              </c:strCache>
            </c:strRef>
          </c:tx>
          <c:spPr>
            <a:solidFill>
              <a:schemeClr val="bg2">
                <a:lumMod val="90000"/>
              </a:schemeClr>
            </a:solidFill>
            <a:ln>
              <a:noFill/>
            </a:ln>
            <a:effectLst/>
          </c:spPr>
          <c:invertIfNegative val="0"/>
          <c:cat>
            <c:strRef>
              <c:f>KPIs_Qs!$B$28:$B$29</c:f>
              <c:strCache>
                <c:ptCount val="2"/>
                <c:pt idx="0">
                  <c:v>Netflix             </c:v>
                </c:pt>
                <c:pt idx="1">
                  <c:v>The Walt Disney Company</c:v>
                </c:pt>
              </c:strCache>
            </c:strRef>
          </c:cat>
          <c:val>
            <c:numRef>
              <c:f>KPIs_Qs!$G$28:$G$29</c:f>
              <c:numCache>
                <c:formatCode>0.0%</c:formatCode>
                <c:ptCount val="2"/>
                <c:pt idx="0">
                  <c:v>0.1722760645218642</c:v>
                </c:pt>
                <c:pt idx="1">
                  <c:v>2.9591503752706992E-2</c:v>
                </c:pt>
              </c:numCache>
            </c:numRef>
          </c:val>
          <c:extLst>
            <c:ext xmlns:c16="http://schemas.microsoft.com/office/drawing/2014/chart" uri="{C3380CC4-5D6E-409C-BE32-E72D297353CC}">
              <c16:uniqueId val="{00000004-7BD0-42C7-8DDD-7A13FF2F4A29}"/>
            </c:ext>
          </c:extLst>
        </c:ser>
        <c:dLbls>
          <c:showLegendKey val="0"/>
          <c:showVal val="0"/>
          <c:showCatName val="0"/>
          <c:showSerName val="0"/>
          <c:showPercent val="0"/>
          <c:showBubbleSize val="0"/>
        </c:dLbls>
        <c:gapWidth val="219"/>
        <c:overlap val="-27"/>
        <c:axId val="1148916816"/>
        <c:axId val="1148910096"/>
      </c:barChart>
      <c:catAx>
        <c:axId val="114891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1148910096"/>
        <c:crossesAt val="0"/>
        <c:auto val="1"/>
        <c:lblAlgn val="ctr"/>
        <c:lblOffset val="100"/>
        <c:noMultiLvlLbl val="0"/>
      </c:catAx>
      <c:valAx>
        <c:axId val="1148910096"/>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700" baseline="0">
                <a:solidFill>
                  <a:schemeClr val="tx1">
                    <a:lumMod val="65000"/>
                    <a:lumOff val="35000"/>
                  </a:schemeClr>
                </a:solidFill>
                <a:latin typeface="+mn-lt"/>
                <a:ea typeface="+mn-ea"/>
                <a:cs typeface="+mn-cs"/>
              </a:defRPr>
            </a:pPr>
            <a:endParaRPr lang="en-US"/>
          </a:p>
        </c:txPr>
        <c:crossAx val="1148916816"/>
        <c:crosses val="autoZero"/>
        <c:crossBetween val="between"/>
      </c:valAx>
      <c:spPr>
        <a:noFill/>
        <a:ln>
          <a:noFill/>
        </a:ln>
        <a:effectLst>
          <a:glow rad="127000">
            <a:schemeClr val="accent1">
              <a:alpha val="62000"/>
            </a:schemeClr>
          </a:glow>
          <a:softEdge rad="5969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mn-ea"/>
                <a:cs typeface="+mn-cs"/>
              </a:defRPr>
            </a:pPr>
            <a:r>
              <a:rPr lang="en-US" sz="800" u="sng">
                <a:latin typeface="+mn-lt"/>
              </a:rPr>
              <a:t> </a:t>
            </a:r>
            <a:r>
              <a:rPr lang="en-US" sz="800" b="0" i="0" u="sng" strike="noStrike" baseline="0">
                <a:latin typeface="+mn-lt"/>
              </a:rPr>
              <a:t>Operating Cash Flow Margin – Revenue to Operating Cash Conversion</a:t>
            </a:r>
            <a:endParaRPr lang="en-US" sz="800" u="sng">
              <a:latin typeface="+mn-lt"/>
            </a:endParaRPr>
          </a:p>
        </c:rich>
      </c:tx>
      <c:layout>
        <c:manualLayout>
          <c:xMode val="edge"/>
          <c:yMode val="edge"/>
          <c:x val="0.16243044619422572"/>
          <c:y val="0"/>
        </c:manualLayout>
      </c:layout>
      <c:overlay val="0"/>
      <c:spPr>
        <a:noFill/>
        <a:ln>
          <a:noFill/>
        </a:ln>
        <a:effectLst/>
      </c:spPr>
      <c:txPr>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KPIs_Qs!$K$20</c:f>
              <c:strCache>
                <c:ptCount val="1"/>
                <c:pt idx="0">
                  <c:v>Netflix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KPIs_Qs!$J$21:$J$25</c:f>
              <c:numCache>
                <c:formatCode>General</c:formatCode>
                <c:ptCount val="5"/>
                <c:pt idx="0">
                  <c:v>2025</c:v>
                </c:pt>
                <c:pt idx="1">
                  <c:v>2024</c:v>
                </c:pt>
                <c:pt idx="2">
                  <c:v>2023</c:v>
                </c:pt>
                <c:pt idx="3">
                  <c:v>2022</c:v>
                </c:pt>
                <c:pt idx="4">
                  <c:v>2021</c:v>
                </c:pt>
              </c:numCache>
            </c:numRef>
          </c:cat>
          <c:val>
            <c:numRef>
              <c:f>KPIs_Qs!$K$21:$K$25</c:f>
              <c:numCache>
                <c:formatCode>0.00%</c:formatCode>
                <c:ptCount val="5"/>
                <c:pt idx="0">
                  <c:v>0.2246256781305552</c:v>
                </c:pt>
                <c:pt idx="1">
                  <c:v>0.18874825132509557</c:v>
                </c:pt>
                <c:pt idx="2">
                  <c:v>0.21570546180237402</c:v>
                </c:pt>
                <c:pt idx="3">
                  <c:v>6.4090550377899499E-2</c:v>
                </c:pt>
                <c:pt idx="4">
                  <c:v>1.3220153384892654E-2</c:v>
                </c:pt>
              </c:numCache>
            </c:numRef>
          </c:val>
          <c:smooth val="0"/>
          <c:extLst>
            <c:ext xmlns:c16="http://schemas.microsoft.com/office/drawing/2014/chart" uri="{C3380CC4-5D6E-409C-BE32-E72D297353CC}">
              <c16:uniqueId val="{00000000-6C27-423D-A8CD-684FA1F9DA7D}"/>
            </c:ext>
          </c:extLst>
        </c:ser>
        <c:ser>
          <c:idx val="1"/>
          <c:order val="1"/>
          <c:tx>
            <c:strRef>
              <c:f>KPIs_Qs!$L$20</c:f>
              <c:strCache>
                <c:ptCount val="1"/>
                <c:pt idx="0">
                  <c:v>The Walt Disney Company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KPIs_Qs!$J$21:$J$25</c:f>
              <c:numCache>
                <c:formatCode>General</c:formatCode>
                <c:ptCount val="5"/>
                <c:pt idx="0">
                  <c:v>2025</c:v>
                </c:pt>
                <c:pt idx="1">
                  <c:v>2024</c:v>
                </c:pt>
                <c:pt idx="2">
                  <c:v>2023</c:v>
                </c:pt>
                <c:pt idx="3">
                  <c:v>2022</c:v>
                </c:pt>
                <c:pt idx="4">
                  <c:v>2021</c:v>
                </c:pt>
              </c:numCache>
            </c:numRef>
          </c:cat>
          <c:val>
            <c:numRef>
              <c:f>KPIs_Qs!$L$21:$L$25</c:f>
              <c:numCache>
                <c:formatCode>0.00%</c:formatCode>
                <c:ptCount val="5"/>
                <c:pt idx="0">
                  <c:v>0.19169711411172888</c:v>
                </c:pt>
                <c:pt idx="1">
                  <c:v>0.15292083055132935</c:v>
                </c:pt>
                <c:pt idx="2">
                  <c:v>0.11098112443474543</c:v>
                </c:pt>
                <c:pt idx="3">
                  <c:v>7.2556272817388356E-2</c:v>
                </c:pt>
                <c:pt idx="4">
                  <c:v>8.2559553828354448E-2</c:v>
                </c:pt>
              </c:numCache>
            </c:numRef>
          </c:val>
          <c:smooth val="0"/>
          <c:extLst>
            <c:ext xmlns:c16="http://schemas.microsoft.com/office/drawing/2014/chart" uri="{C3380CC4-5D6E-409C-BE32-E72D297353CC}">
              <c16:uniqueId val="{00000001-6C27-423D-A8CD-684FA1F9DA7D}"/>
            </c:ext>
          </c:extLst>
        </c:ser>
        <c:dLbls>
          <c:showLegendKey val="0"/>
          <c:showVal val="0"/>
          <c:showCatName val="0"/>
          <c:showSerName val="0"/>
          <c:showPercent val="0"/>
          <c:showBubbleSize val="0"/>
        </c:dLbls>
        <c:marker val="1"/>
        <c:smooth val="0"/>
        <c:axId val="1222731536"/>
        <c:axId val="1222732496"/>
      </c:lineChart>
      <c:catAx>
        <c:axId val="122273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732496"/>
        <c:crosses val="autoZero"/>
        <c:auto val="1"/>
        <c:lblAlgn val="ctr"/>
        <c:lblOffset val="100"/>
        <c:noMultiLvlLbl val="0"/>
      </c:catAx>
      <c:valAx>
        <c:axId val="1222732496"/>
        <c:scaling>
          <c:orientation val="minMax"/>
        </c:scaling>
        <c:delete val="1"/>
        <c:axPos val="l"/>
        <c:numFmt formatCode="0.00%" sourceLinked="1"/>
        <c:majorTickMark val="none"/>
        <c:minorTickMark val="none"/>
        <c:tickLblPos val="nextTo"/>
        <c:crossAx val="1222731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mn-ea"/>
                <a:cs typeface="+mn-cs"/>
              </a:defRPr>
            </a:pPr>
            <a:r>
              <a:rPr lang="en-US" sz="800" u="sng"/>
              <a:t> </a:t>
            </a:r>
            <a:r>
              <a:rPr lang="en-US" sz="800" b="0" i="0" u="sng" strike="noStrike" baseline="0"/>
              <a:t>Free Cash Flow Margin – Cash Left After Reinvestment</a:t>
            </a:r>
            <a:endParaRPr lang="en-US" sz="800" u="sng"/>
          </a:p>
        </c:rich>
      </c:tx>
      <c:layout>
        <c:manualLayout>
          <c:xMode val="edge"/>
          <c:yMode val="edge"/>
          <c:x val="0.23661111111111116"/>
          <c:y val="0"/>
        </c:manualLayout>
      </c:layout>
      <c:overlay val="0"/>
      <c:spPr>
        <a:noFill/>
        <a:ln>
          <a:noFill/>
        </a:ln>
        <a:effectLst/>
      </c:spPr>
      <c:txPr>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235734422086127E-2"/>
          <c:y val="0.12719580395587807"/>
          <c:w val="0.88366094252690197"/>
          <c:h val="0.72306284821446931"/>
        </c:manualLayout>
      </c:layout>
      <c:lineChart>
        <c:grouping val="stacked"/>
        <c:varyColors val="0"/>
        <c:ser>
          <c:idx val="0"/>
          <c:order val="0"/>
          <c:tx>
            <c:strRef>
              <c:f>KPIs_Qs!$K$33</c:f>
              <c:strCache>
                <c:ptCount val="1"/>
                <c:pt idx="0">
                  <c:v>Netflix             </c:v>
                </c:pt>
              </c:strCache>
            </c:strRef>
          </c:tx>
          <c:spPr>
            <a:ln w="28575" cap="rnd">
              <a:solidFill>
                <a:schemeClr val="accent3">
                  <a:shade val="76000"/>
                </a:schemeClr>
              </a:solidFill>
              <a:round/>
            </a:ln>
            <a:effectLst/>
          </c:spPr>
          <c:marker>
            <c:symbol val="circle"/>
            <c:size val="5"/>
            <c:spPr>
              <a:solidFill>
                <a:schemeClr val="accent3">
                  <a:shade val="76000"/>
                </a:schemeClr>
              </a:solidFill>
              <a:ln w="9525">
                <a:solidFill>
                  <a:schemeClr val="accent3">
                    <a:shade val="76000"/>
                  </a:schemeClr>
                </a:solidFill>
              </a:ln>
              <a:effectLst/>
            </c:spPr>
          </c:marker>
          <c:cat>
            <c:numRef>
              <c:f>KPIs_Qs!$J$34:$J$38</c:f>
              <c:numCache>
                <c:formatCode>General</c:formatCode>
                <c:ptCount val="5"/>
                <c:pt idx="0">
                  <c:v>2025</c:v>
                </c:pt>
                <c:pt idx="1">
                  <c:v>2024</c:v>
                </c:pt>
                <c:pt idx="2">
                  <c:v>2023</c:v>
                </c:pt>
                <c:pt idx="3">
                  <c:v>2022</c:v>
                </c:pt>
                <c:pt idx="4">
                  <c:v>2021</c:v>
                </c:pt>
              </c:numCache>
            </c:numRef>
          </c:cat>
          <c:val>
            <c:numRef>
              <c:f>KPIs_Qs!$K$34:$K$38</c:f>
              <c:numCache>
                <c:formatCode>0.00%</c:formatCode>
                <c:ptCount val="5"/>
                <c:pt idx="0">
                  <c:v>0.20939385663293131</c:v>
                </c:pt>
                <c:pt idx="1">
                  <c:v>0.17747832361049601</c:v>
                </c:pt>
                <c:pt idx="2">
                  <c:v>0.20536981849344518</c:v>
                </c:pt>
                <c:pt idx="3">
                  <c:v>5.1194080128291311E-2</c:v>
                </c:pt>
                <c:pt idx="4">
                  <c:v>-4.4439258882127313E-3</c:v>
                </c:pt>
              </c:numCache>
            </c:numRef>
          </c:val>
          <c:smooth val="0"/>
          <c:extLst>
            <c:ext xmlns:c16="http://schemas.microsoft.com/office/drawing/2014/chart" uri="{C3380CC4-5D6E-409C-BE32-E72D297353CC}">
              <c16:uniqueId val="{00000000-407D-4E8E-A18C-2F9B50824264}"/>
            </c:ext>
          </c:extLst>
        </c:ser>
        <c:ser>
          <c:idx val="1"/>
          <c:order val="1"/>
          <c:tx>
            <c:strRef>
              <c:f>KPIs_Qs!$L$33</c:f>
              <c:strCache>
                <c:ptCount val="1"/>
                <c:pt idx="0">
                  <c:v>The Walt Disney Company</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cat>
            <c:numRef>
              <c:f>KPIs_Qs!$J$34:$J$38</c:f>
              <c:numCache>
                <c:formatCode>General</c:formatCode>
                <c:ptCount val="5"/>
                <c:pt idx="0">
                  <c:v>2025</c:v>
                </c:pt>
                <c:pt idx="1">
                  <c:v>2024</c:v>
                </c:pt>
                <c:pt idx="2">
                  <c:v>2023</c:v>
                </c:pt>
                <c:pt idx="3">
                  <c:v>2022</c:v>
                </c:pt>
                <c:pt idx="4">
                  <c:v>2021</c:v>
                </c:pt>
              </c:numCache>
            </c:numRef>
          </c:cat>
          <c:val>
            <c:numRef>
              <c:f>KPIs_Qs!$L$34:$L$38</c:f>
              <c:numCache>
                <c:formatCode>0.00%</c:formatCode>
                <c:ptCount val="5"/>
                <c:pt idx="0">
                  <c:v>0.10671961874503574</c:v>
                </c:pt>
                <c:pt idx="1">
                  <c:v>9.3683300314138421E-2</c:v>
                </c:pt>
                <c:pt idx="2">
                  <c:v>5.5085603725618125E-2</c:v>
                </c:pt>
                <c:pt idx="3">
                  <c:v>1.2801914847319939E-2</c:v>
                </c:pt>
                <c:pt idx="4">
                  <c:v>2.9487673914978196E-2</c:v>
                </c:pt>
              </c:numCache>
            </c:numRef>
          </c:val>
          <c:smooth val="0"/>
          <c:extLst>
            <c:ext xmlns:c16="http://schemas.microsoft.com/office/drawing/2014/chart" uri="{C3380CC4-5D6E-409C-BE32-E72D297353CC}">
              <c16:uniqueId val="{00000001-407D-4E8E-A18C-2F9B50824264}"/>
            </c:ext>
          </c:extLst>
        </c:ser>
        <c:dLbls>
          <c:showLegendKey val="0"/>
          <c:showVal val="0"/>
          <c:showCatName val="0"/>
          <c:showSerName val="0"/>
          <c:showPercent val="0"/>
          <c:showBubbleSize val="0"/>
        </c:dLbls>
        <c:marker val="1"/>
        <c:smooth val="0"/>
        <c:axId val="1138162080"/>
        <c:axId val="1138162560"/>
      </c:lineChart>
      <c:catAx>
        <c:axId val="113816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162560"/>
        <c:crosses val="autoZero"/>
        <c:auto val="1"/>
        <c:lblAlgn val="ctr"/>
        <c:lblOffset val="100"/>
        <c:noMultiLvlLbl val="0"/>
      </c:catAx>
      <c:valAx>
        <c:axId val="1138162560"/>
        <c:scaling>
          <c:orientation val="minMax"/>
          <c:max val="0.35000000000000003"/>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162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3">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mn-ea"/>
                <a:cs typeface="+mn-cs"/>
              </a:defRPr>
            </a:pPr>
            <a:r>
              <a:rPr lang="en-US" sz="800" b="0" i="0" u="sng" strike="noStrike" baseline="0"/>
              <a:t>Cash-Backed Earnings Ratio (CFO / Net Income)</a:t>
            </a:r>
            <a:endParaRPr lang="en-US" sz="800" u="sng">
              <a:latin typeface="+mn-lt"/>
            </a:endParaRPr>
          </a:p>
        </c:rich>
      </c:tx>
      <c:layout>
        <c:manualLayout>
          <c:xMode val="edge"/>
          <c:yMode val="edge"/>
          <c:x val="0.30024730888069373"/>
          <c:y val="2.4049918288515822E-2"/>
        </c:manualLayout>
      </c:layout>
      <c:overlay val="0"/>
      <c:spPr>
        <a:noFill/>
        <a:ln>
          <a:noFill/>
        </a:ln>
        <a:effectLst/>
      </c:spPr>
      <c:txPr>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5808457091597727E-2"/>
          <c:y val="9.7471837584540741E-2"/>
          <c:w val="0.94990892531876137"/>
          <c:h val="0.71001314229660684"/>
        </c:manualLayout>
      </c:layout>
      <c:lineChart>
        <c:grouping val="stacked"/>
        <c:varyColors val="0"/>
        <c:ser>
          <c:idx val="0"/>
          <c:order val="0"/>
          <c:tx>
            <c:strRef>
              <c:f>KPIs_Qs!$K$41</c:f>
              <c:strCache>
                <c:ptCount val="1"/>
                <c:pt idx="0">
                  <c:v>Netflix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KPIs_Qs!$J$42:$J$46</c:f>
              <c:numCache>
                <c:formatCode>General</c:formatCode>
                <c:ptCount val="5"/>
                <c:pt idx="0">
                  <c:v>2025</c:v>
                </c:pt>
                <c:pt idx="1">
                  <c:v>2024</c:v>
                </c:pt>
                <c:pt idx="2">
                  <c:v>2023</c:v>
                </c:pt>
                <c:pt idx="3">
                  <c:v>2022</c:v>
                </c:pt>
                <c:pt idx="4">
                  <c:v>2021</c:v>
                </c:pt>
              </c:numCache>
            </c:numRef>
          </c:cat>
          <c:val>
            <c:numRef>
              <c:f>KPIs_Qs!$K$42:$K$46</c:f>
              <c:numCache>
                <c:formatCode>0.00</c:formatCode>
                <c:ptCount val="5"/>
                <c:pt idx="0">
                  <c:v>0.92424027456370006</c:v>
                </c:pt>
                <c:pt idx="1">
                  <c:v>0.8450041892279847</c:v>
                </c:pt>
                <c:pt idx="2">
                  <c:v>1.3451020905914968</c:v>
                </c:pt>
                <c:pt idx="3">
                  <c:v>0.45108860803454376</c:v>
                </c:pt>
                <c:pt idx="4">
                  <c:v>7.6738190076398191E-2</c:v>
                </c:pt>
              </c:numCache>
            </c:numRef>
          </c:val>
          <c:smooth val="0"/>
          <c:extLst>
            <c:ext xmlns:c16="http://schemas.microsoft.com/office/drawing/2014/chart" uri="{C3380CC4-5D6E-409C-BE32-E72D297353CC}">
              <c16:uniqueId val="{00000000-3B58-4771-9DC9-C0ED4E7D2092}"/>
            </c:ext>
          </c:extLst>
        </c:ser>
        <c:ser>
          <c:idx val="1"/>
          <c:order val="1"/>
          <c:tx>
            <c:strRef>
              <c:f>KPIs_Qs!$L$41</c:f>
              <c:strCache>
                <c:ptCount val="1"/>
                <c:pt idx="0">
                  <c:v>The Walt Disney Company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KPIs_Qs!$J$42:$J$46</c:f>
              <c:numCache>
                <c:formatCode>General</c:formatCode>
                <c:ptCount val="5"/>
                <c:pt idx="0">
                  <c:v>2025</c:v>
                </c:pt>
                <c:pt idx="1">
                  <c:v>2024</c:v>
                </c:pt>
                <c:pt idx="2">
                  <c:v>2023</c:v>
                </c:pt>
                <c:pt idx="3">
                  <c:v>2022</c:v>
                </c:pt>
                <c:pt idx="4">
                  <c:v>2021</c:v>
                </c:pt>
              </c:numCache>
            </c:numRef>
          </c:cat>
          <c:val>
            <c:numRef>
              <c:f>KPIs_Qs!$L$42:$L$46</c:f>
              <c:numCache>
                <c:formatCode>0.00</c:formatCode>
                <c:ptCount val="5"/>
                <c:pt idx="0">
                  <c:v>1.4592873266688164</c:v>
                </c:pt>
                <c:pt idx="1">
                  <c:v>2.8099356395816573</c:v>
                </c:pt>
                <c:pt idx="2">
                  <c:v>4.1911639762107056</c:v>
                </c:pt>
                <c:pt idx="3">
                  <c:v>1.9084260731319556</c:v>
                </c:pt>
                <c:pt idx="4">
                  <c:v>2.7899749373433584</c:v>
                </c:pt>
              </c:numCache>
            </c:numRef>
          </c:val>
          <c:smooth val="0"/>
          <c:extLst>
            <c:ext xmlns:c16="http://schemas.microsoft.com/office/drawing/2014/chart" uri="{C3380CC4-5D6E-409C-BE32-E72D297353CC}">
              <c16:uniqueId val="{00000001-3B58-4771-9DC9-C0ED4E7D2092}"/>
            </c:ext>
          </c:extLst>
        </c:ser>
        <c:dLbls>
          <c:showLegendKey val="0"/>
          <c:showVal val="0"/>
          <c:showCatName val="0"/>
          <c:showSerName val="0"/>
          <c:showPercent val="0"/>
          <c:showBubbleSize val="0"/>
        </c:dLbls>
        <c:marker val="1"/>
        <c:smooth val="0"/>
        <c:axId val="1067866943"/>
        <c:axId val="1067861663"/>
      </c:lineChart>
      <c:lineChart>
        <c:grouping val="stacked"/>
        <c:varyColors val="0"/>
        <c:ser>
          <c:idx val="2"/>
          <c:order val="2"/>
          <c:tx>
            <c:strRef>
              <c:f>KPIs_Qs!$M$41</c:f>
              <c:strCache>
                <c:ptCount val="1"/>
                <c:pt idx="0">
                  <c:v>Benchmark</c:v>
                </c:pt>
              </c:strCache>
            </c:strRef>
          </c:tx>
          <c:spPr>
            <a:ln w="19050" cap="rnd">
              <a:solidFill>
                <a:schemeClr val="bg1">
                  <a:lumMod val="65000"/>
                </a:schemeClr>
              </a:solidFill>
              <a:prstDash val="sysDot"/>
              <a:round/>
            </a:ln>
            <a:effectLst>
              <a:glow>
                <a:srgbClr val="92D050"/>
              </a:glow>
              <a:outerShdw blurRad="774700" dist="215900" dir="5400000" sx="40000" sy="40000" algn="ctr" rotWithShape="0">
                <a:srgbClr val="000000">
                  <a:alpha val="53000"/>
                </a:srgbClr>
              </a:outerShdw>
            </a:effectLst>
          </c:spPr>
          <c:marker>
            <c:symbol val="circle"/>
            <c:size val="5"/>
            <c:spPr>
              <a:noFill/>
              <a:ln w="9525">
                <a:noFill/>
              </a:ln>
              <a:effectLst>
                <a:glow>
                  <a:srgbClr val="92D050"/>
                </a:glow>
                <a:outerShdw blurRad="774700" dist="215900" dir="5400000" sx="40000" sy="40000" algn="ctr" rotWithShape="0">
                  <a:srgbClr val="000000">
                    <a:alpha val="53000"/>
                  </a:srgbClr>
                </a:outerShdw>
              </a:effectLst>
            </c:spPr>
          </c:marker>
          <c:cat>
            <c:numRef>
              <c:f>KPIs_Qs!$J$42:$J$46</c:f>
              <c:numCache>
                <c:formatCode>General</c:formatCode>
                <c:ptCount val="5"/>
                <c:pt idx="0">
                  <c:v>2025</c:v>
                </c:pt>
                <c:pt idx="1">
                  <c:v>2024</c:v>
                </c:pt>
                <c:pt idx="2">
                  <c:v>2023</c:v>
                </c:pt>
                <c:pt idx="3">
                  <c:v>2022</c:v>
                </c:pt>
                <c:pt idx="4">
                  <c:v>2021</c:v>
                </c:pt>
              </c:numCache>
            </c:numRef>
          </c:cat>
          <c:val>
            <c:numRef>
              <c:f>KPIs_Qs!$M$42:$M$46</c:f>
              <c:numCache>
                <c:formatCode>General</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2-3B58-4771-9DC9-C0ED4E7D2092}"/>
            </c:ext>
          </c:extLst>
        </c:ser>
        <c:dLbls>
          <c:showLegendKey val="0"/>
          <c:showVal val="0"/>
          <c:showCatName val="0"/>
          <c:showSerName val="0"/>
          <c:showPercent val="0"/>
          <c:showBubbleSize val="0"/>
        </c:dLbls>
        <c:marker val="1"/>
        <c:smooth val="0"/>
        <c:axId val="1175031904"/>
        <c:axId val="1175046784"/>
      </c:lineChart>
      <c:catAx>
        <c:axId val="1067866943"/>
        <c:scaling>
          <c:orientation val="maxMin"/>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61663"/>
        <c:crosses val="autoZero"/>
        <c:auto val="1"/>
        <c:lblAlgn val="ctr"/>
        <c:lblOffset val="100"/>
        <c:noMultiLvlLbl val="0"/>
      </c:catAx>
      <c:valAx>
        <c:axId val="1067861663"/>
        <c:scaling>
          <c:orientation val="minMax"/>
        </c:scaling>
        <c:delete val="1"/>
        <c:axPos val="r"/>
        <c:numFmt formatCode="0.00" sourceLinked="1"/>
        <c:majorTickMark val="none"/>
        <c:minorTickMark val="none"/>
        <c:tickLblPos val="nextTo"/>
        <c:crossAx val="1067866943"/>
        <c:crosses val="autoZero"/>
        <c:crossBetween val="between"/>
      </c:valAx>
      <c:valAx>
        <c:axId val="1175046784"/>
        <c:scaling>
          <c:orientation val="minMax"/>
        </c:scaling>
        <c:delete val="1"/>
        <c:axPos val="l"/>
        <c:numFmt formatCode="General" sourceLinked="1"/>
        <c:majorTickMark val="out"/>
        <c:minorTickMark val="none"/>
        <c:tickLblPos val="nextTo"/>
        <c:crossAx val="1175031904"/>
        <c:crosses val="autoZero"/>
        <c:crossBetween val="between"/>
      </c:valAx>
      <c:catAx>
        <c:axId val="1175031904"/>
        <c:scaling>
          <c:orientation val="minMax"/>
        </c:scaling>
        <c:delete val="1"/>
        <c:axPos val="b"/>
        <c:numFmt formatCode="General" sourceLinked="1"/>
        <c:majorTickMark val="out"/>
        <c:minorTickMark val="none"/>
        <c:tickLblPos val="nextTo"/>
        <c:crossAx val="1175046784"/>
        <c:crosses val="autoZero"/>
        <c:auto val="1"/>
        <c:lblAlgn val="ctr"/>
        <c:lblOffset val="100"/>
        <c:noMultiLvlLbl val="0"/>
      </c:cat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ADLaM Display" panose="020F0502020204030204" pitchFamily="2" charset="0"/>
                <a:cs typeface="ADLaM Display" panose="020F0502020204030204" pitchFamily="2" charset="0"/>
              </a:defRPr>
            </a:pPr>
            <a:r>
              <a:rPr lang="en-US" sz="800" b="0" i="0" u="sng" strike="noStrike" baseline="0">
                <a:latin typeface="+mn-lt"/>
                <a:ea typeface="ADLaM Display" panose="020F0502020204030204" pitchFamily="2" charset="0"/>
                <a:cs typeface="ADLaM Display" panose="020F0502020204030204" pitchFamily="2" charset="0"/>
              </a:rPr>
              <a:t>Earnings Quality- - - - Cash Support Analysis</a:t>
            </a:r>
            <a:endParaRPr lang="en-US" sz="800" u="sng">
              <a:latin typeface="+mn-lt"/>
              <a:ea typeface="ADLaM Display" panose="020F0502020204030204" pitchFamily="2" charset="0"/>
              <a:cs typeface="ADLaM Display" panose="020F0502020204030204" pitchFamily="2" charset="0"/>
            </a:endParaRPr>
          </a:p>
        </c:rich>
      </c:tx>
      <c:layout>
        <c:manualLayout>
          <c:xMode val="edge"/>
          <c:yMode val="edge"/>
          <c:x val="0.31904754408514224"/>
          <c:y val="1.1246867810362198E-2"/>
        </c:manualLayout>
      </c:layout>
      <c:overlay val="0"/>
      <c:spPr>
        <a:noFill/>
        <a:ln>
          <a:noFill/>
        </a:ln>
        <a:effectLst/>
      </c:spPr>
      <c:txPr>
        <a:bodyPr rot="0" spcFirstLastPara="1" vertOverflow="ellipsis" vert="horz" wrap="square" anchor="ctr" anchorCtr="1"/>
        <a:lstStyle/>
        <a:p>
          <a:pPr>
            <a:defRPr sz="800" b="0" i="0" u="sng" strike="noStrike" kern="1200" spc="0" baseline="0">
              <a:solidFill>
                <a:schemeClr val="tx1">
                  <a:lumMod val="65000"/>
                  <a:lumOff val="35000"/>
                </a:schemeClr>
              </a:solidFill>
              <a:latin typeface="+mn-lt"/>
              <a:ea typeface="ADLaM Display" panose="020F0502020204030204" pitchFamily="2" charset="0"/>
              <a:cs typeface="ADLaM Display" panose="020F0502020204030204" pitchFamily="2" charset="0"/>
            </a:defRPr>
          </a:pPr>
          <a:endParaRPr lang="en-US"/>
        </a:p>
      </c:txPr>
    </c:title>
    <c:autoTitleDeleted val="0"/>
    <c:plotArea>
      <c:layout/>
      <c:lineChart>
        <c:grouping val="standard"/>
        <c:varyColors val="0"/>
        <c:ser>
          <c:idx val="0"/>
          <c:order val="0"/>
          <c:tx>
            <c:strRef>
              <c:f>KPIs_Qs!$K$49</c:f>
              <c:strCache>
                <c:ptCount val="1"/>
                <c:pt idx="0">
                  <c:v>Netflix             </c:v>
                </c:pt>
              </c:strCache>
            </c:strRef>
          </c:tx>
          <c:spPr>
            <a:ln w="34925" cap="rnd">
              <a:solidFill>
                <a:srgbClr val="00B050"/>
              </a:solidFill>
              <a:round/>
            </a:ln>
            <a:effectLst/>
          </c:spPr>
          <c:marker>
            <c:symbol val="circle"/>
            <c:size val="5"/>
            <c:spPr>
              <a:solidFill>
                <a:srgbClr val="00B0F0"/>
              </a:solidFill>
              <a:ln w="28575">
                <a:solidFill>
                  <a:srgbClr val="00B050"/>
                </a:solidFill>
              </a:ln>
              <a:effectLst/>
            </c:spPr>
          </c:marker>
          <c:dPt>
            <c:idx val="1"/>
            <c:marker>
              <c:symbol val="circle"/>
              <c:size val="5"/>
              <c:spPr>
                <a:solidFill>
                  <a:srgbClr val="00B0F0"/>
                </a:solidFill>
                <a:ln w="28575">
                  <a:solidFill>
                    <a:srgbClr val="00B050"/>
                  </a:solidFill>
                </a:ln>
                <a:effectLst/>
              </c:spPr>
            </c:marker>
            <c:bubble3D val="0"/>
            <c:spPr>
              <a:ln w="34925" cap="rnd">
                <a:solidFill>
                  <a:srgbClr val="00B050"/>
                </a:solidFill>
                <a:round/>
              </a:ln>
              <a:effectLst/>
            </c:spPr>
            <c:extLst>
              <c:ext xmlns:c16="http://schemas.microsoft.com/office/drawing/2014/chart" uri="{C3380CC4-5D6E-409C-BE32-E72D297353CC}">
                <c16:uniqueId val="{00000001-7D7F-4817-A960-33BD499716E5}"/>
              </c:ext>
            </c:extLst>
          </c:dPt>
          <c:dPt>
            <c:idx val="2"/>
            <c:marker>
              <c:symbol val="circle"/>
              <c:size val="5"/>
              <c:spPr>
                <a:solidFill>
                  <a:srgbClr val="00B0F0"/>
                </a:solidFill>
                <a:ln w="28575">
                  <a:solidFill>
                    <a:srgbClr val="00B050"/>
                  </a:solidFill>
                </a:ln>
                <a:effectLst/>
              </c:spPr>
            </c:marker>
            <c:bubble3D val="0"/>
            <c:spPr>
              <a:ln w="34925" cap="rnd">
                <a:solidFill>
                  <a:srgbClr val="00B050"/>
                </a:solidFill>
                <a:round/>
              </a:ln>
              <a:effectLst/>
            </c:spPr>
            <c:extLst>
              <c:ext xmlns:c16="http://schemas.microsoft.com/office/drawing/2014/chart" uri="{C3380CC4-5D6E-409C-BE32-E72D297353CC}">
                <c16:uniqueId val="{00000003-7D7F-4817-A960-33BD499716E5}"/>
              </c:ext>
            </c:extLst>
          </c:dPt>
          <c:dPt>
            <c:idx val="3"/>
            <c:marker>
              <c:symbol val="circle"/>
              <c:size val="5"/>
              <c:spPr>
                <a:solidFill>
                  <a:srgbClr val="00B0F0"/>
                </a:solidFill>
                <a:ln w="28575">
                  <a:solidFill>
                    <a:srgbClr val="00B050"/>
                  </a:solidFill>
                </a:ln>
                <a:effectLst/>
              </c:spPr>
            </c:marker>
            <c:bubble3D val="0"/>
            <c:spPr>
              <a:ln w="34925" cap="rnd">
                <a:solidFill>
                  <a:srgbClr val="00B050"/>
                </a:solidFill>
                <a:round/>
              </a:ln>
              <a:effectLst/>
            </c:spPr>
            <c:extLst>
              <c:ext xmlns:c16="http://schemas.microsoft.com/office/drawing/2014/chart" uri="{C3380CC4-5D6E-409C-BE32-E72D297353CC}">
                <c16:uniqueId val="{00000005-7D7F-4817-A960-33BD499716E5}"/>
              </c:ext>
            </c:extLst>
          </c:dPt>
          <c:dPt>
            <c:idx val="4"/>
            <c:marker>
              <c:symbol val="circle"/>
              <c:size val="5"/>
              <c:spPr>
                <a:solidFill>
                  <a:srgbClr val="00B0F0"/>
                </a:solidFill>
                <a:ln w="28575">
                  <a:solidFill>
                    <a:srgbClr val="00B050"/>
                  </a:solidFill>
                </a:ln>
                <a:effectLst/>
              </c:spPr>
            </c:marker>
            <c:bubble3D val="0"/>
            <c:spPr>
              <a:ln w="34925" cap="rnd">
                <a:solidFill>
                  <a:srgbClr val="00B050"/>
                </a:solidFill>
                <a:round/>
              </a:ln>
              <a:effectLst/>
            </c:spPr>
            <c:extLst>
              <c:ext xmlns:c16="http://schemas.microsoft.com/office/drawing/2014/chart" uri="{C3380CC4-5D6E-409C-BE32-E72D297353CC}">
                <c16:uniqueId val="{00000007-7D7F-4817-A960-33BD499716E5}"/>
              </c:ext>
            </c:extLst>
          </c:dPt>
          <c:cat>
            <c:numRef>
              <c:f>KPIs_Qs!$J$50:$J$54</c:f>
              <c:numCache>
                <c:formatCode>General</c:formatCode>
                <c:ptCount val="5"/>
                <c:pt idx="0">
                  <c:v>2021</c:v>
                </c:pt>
                <c:pt idx="1">
                  <c:v>2022</c:v>
                </c:pt>
                <c:pt idx="2">
                  <c:v>2023</c:v>
                </c:pt>
                <c:pt idx="3">
                  <c:v>2024</c:v>
                </c:pt>
                <c:pt idx="4">
                  <c:v>2025</c:v>
                </c:pt>
              </c:numCache>
            </c:numRef>
          </c:cat>
          <c:val>
            <c:numRef>
              <c:f>KPIs_Qs!$K$50:$K$54</c:f>
              <c:numCache>
                <c:formatCode>0.00</c:formatCode>
                <c:ptCount val="5"/>
                <c:pt idx="0">
                  <c:v>6.3380336259150932E-2</c:v>
                </c:pt>
                <c:pt idx="1">
                  <c:v>0.35972252698285556</c:v>
                </c:pt>
                <c:pt idx="2">
                  <c:v>1.0460592199831924</c:v>
                </c:pt>
                <c:pt idx="3">
                  <c:v>0.70662672021188722</c:v>
                </c:pt>
                <c:pt idx="4">
                  <c:v>0.76157957997707748</c:v>
                </c:pt>
              </c:numCache>
            </c:numRef>
          </c:val>
          <c:smooth val="0"/>
          <c:extLst>
            <c:ext xmlns:c16="http://schemas.microsoft.com/office/drawing/2014/chart" uri="{C3380CC4-5D6E-409C-BE32-E72D297353CC}">
              <c16:uniqueId val="{00000008-7D7F-4817-A960-33BD499716E5}"/>
            </c:ext>
          </c:extLst>
        </c:ser>
        <c:ser>
          <c:idx val="1"/>
          <c:order val="1"/>
          <c:tx>
            <c:strRef>
              <c:f>KPIs_Qs!$L$49</c:f>
              <c:strCache>
                <c:ptCount val="1"/>
                <c:pt idx="0">
                  <c:v>The Walt Disney Company</c:v>
                </c:pt>
              </c:strCache>
            </c:strRef>
          </c:tx>
          <c:spPr>
            <a:ln w="38100" cap="rnd">
              <a:solidFill>
                <a:srgbClr val="0070C0"/>
              </a:solidFill>
              <a:round/>
            </a:ln>
            <a:effectLst/>
          </c:spPr>
          <c:marker>
            <c:symbol val="circle"/>
            <c:size val="5"/>
            <c:spPr>
              <a:solidFill>
                <a:srgbClr val="92D050"/>
              </a:solidFill>
              <a:ln w="9525">
                <a:solidFill>
                  <a:schemeClr val="accent2"/>
                </a:solidFill>
              </a:ln>
              <a:effectLst/>
            </c:spPr>
          </c:marker>
          <c:cat>
            <c:numRef>
              <c:f>KPIs_Qs!$J$50:$J$54</c:f>
              <c:numCache>
                <c:formatCode>General</c:formatCode>
                <c:ptCount val="5"/>
                <c:pt idx="0">
                  <c:v>2021</c:v>
                </c:pt>
                <c:pt idx="1">
                  <c:v>2022</c:v>
                </c:pt>
                <c:pt idx="2">
                  <c:v>2023</c:v>
                </c:pt>
                <c:pt idx="3">
                  <c:v>2024</c:v>
                </c:pt>
                <c:pt idx="4">
                  <c:v>2025</c:v>
                </c:pt>
              </c:numCache>
            </c:numRef>
          </c:cat>
          <c:val>
            <c:numRef>
              <c:f>KPIs_Qs!$L$50:$L$54</c:f>
              <c:numCache>
                <c:formatCode>0.00</c:formatCode>
                <c:ptCount val="5"/>
                <c:pt idx="0">
                  <c:v>1.8522462562396007</c:v>
                </c:pt>
                <c:pt idx="1">
                  <c:v>0.91872034287463644</c:v>
                </c:pt>
                <c:pt idx="2">
                  <c:v>1.9345098039215687</c:v>
                </c:pt>
                <c:pt idx="3">
                  <c:v>1.6794085827623513</c:v>
                </c:pt>
                <c:pt idx="4">
                  <c:v>1.3909936217628525</c:v>
                </c:pt>
              </c:numCache>
            </c:numRef>
          </c:val>
          <c:smooth val="0"/>
          <c:extLst>
            <c:ext xmlns:c16="http://schemas.microsoft.com/office/drawing/2014/chart" uri="{C3380CC4-5D6E-409C-BE32-E72D297353CC}">
              <c16:uniqueId val="{00000009-7D7F-4817-A960-33BD499716E5}"/>
            </c:ext>
          </c:extLst>
        </c:ser>
        <c:ser>
          <c:idx val="2"/>
          <c:order val="2"/>
          <c:tx>
            <c:strRef>
              <c:f>KPIs_Qs!$M$49</c:f>
              <c:strCache>
                <c:ptCount val="1"/>
                <c:pt idx="0">
                  <c:v>Weak</c:v>
                </c:pt>
              </c:strCache>
            </c:strRef>
          </c:tx>
          <c:spPr>
            <a:ln w="9525" cap="rnd">
              <a:solidFill>
                <a:schemeClr val="accent2">
                  <a:alpha val="85000"/>
                </a:schemeClr>
              </a:solidFill>
              <a:prstDash val="sysDash"/>
              <a:round/>
            </a:ln>
            <a:effectLst/>
          </c:spPr>
          <c:marker>
            <c:symbol val="none"/>
          </c:marker>
          <c:cat>
            <c:numRef>
              <c:f>KPIs_Qs!$J$50:$J$54</c:f>
              <c:numCache>
                <c:formatCode>General</c:formatCode>
                <c:ptCount val="5"/>
                <c:pt idx="0">
                  <c:v>2021</c:v>
                </c:pt>
                <c:pt idx="1">
                  <c:v>2022</c:v>
                </c:pt>
                <c:pt idx="2">
                  <c:v>2023</c:v>
                </c:pt>
                <c:pt idx="3">
                  <c:v>2024</c:v>
                </c:pt>
                <c:pt idx="4">
                  <c:v>2025</c:v>
                </c:pt>
              </c:numCache>
            </c:numRef>
          </c:cat>
          <c:val>
            <c:numRef>
              <c:f>KPIs_Qs!$M$50:$M$54</c:f>
              <c:numCache>
                <c:formatCode>0.0</c:formatCode>
                <c:ptCount val="5"/>
                <c:pt idx="0">
                  <c:v>0.8</c:v>
                </c:pt>
                <c:pt idx="1">
                  <c:v>0.8</c:v>
                </c:pt>
                <c:pt idx="2">
                  <c:v>0.8</c:v>
                </c:pt>
                <c:pt idx="3">
                  <c:v>0.8</c:v>
                </c:pt>
                <c:pt idx="4">
                  <c:v>0.8</c:v>
                </c:pt>
              </c:numCache>
            </c:numRef>
          </c:val>
          <c:smooth val="0"/>
          <c:extLst>
            <c:ext xmlns:c16="http://schemas.microsoft.com/office/drawing/2014/chart" uri="{C3380CC4-5D6E-409C-BE32-E72D297353CC}">
              <c16:uniqueId val="{0000000A-7D7F-4817-A960-33BD499716E5}"/>
            </c:ext>
          </c:extLst>
        </c:ser>
        <c:ser>
          <c:idx val="3"/>
          <c:order val="3"/>
          <c:tx>
            <c:strRef>
              <c:f>KPIs_Qs!$N$49</c:f>
              <c:strCache>
                <c:ptCount val="1"/>
                <c:pt idx="0">
                  <c:v>Strong</c:v>
                </c:pt>
              </c:strCache>
            </c:strRef>
          </c:tx>
          <c:spPr>
            <a:ln w="15875" cap="rnd">
              <a:solidFill>
                <a:schemeClr val="accent3">
                  <a:lumMod val="50000"/>
                  <a:alpha val="56000"/>
                </a:schemeClr>
              </a:solidFill>
              <a:prstDash val="sysDash"/>
              <a:round/>
            </a:ln>
            <a:effectLst/>
          </c:spPr>
          <c:marker>
            <c:symbol val="none"/>
          </c:marker>
          <c:cat>
            <c:numRef>
              <c:f>KPIs_Qs!$J$50:$J$54</c:f>
              <c:numCache>
                <c:formatCode>General</c:formatCode>
                <c:ptCount val="5"/>
                <c:pt idx="0">
                  <c:v>2021</c:v>
                </c:pt>
                <c:pt idx="1">
                  <c:v>2022</c:v>
                </c:pt>
                <c:pt idx="2">
                  <c:v>2023</c:v>
                </c:pt>
                <c:pt idx="3">
                  <c:v>2024</c:v>
                </c:pt>
                <c:pt idx="4">
                  <c:v>2025</c:v>
                </c:pt>
              </c:numCache>
            </c:numRef>
          </c:cat>
          <c:val>
            <c:numRef>
              <c:f>KPIs_Qs!$N$50:$N$54</c:f>
              <c:numCache>
                <c:formatCode>0.0</c:formatCode>
                <c:ptCount val="5"/>
                <c:pt idx="0">
                  <c:v>1.2</c:v>
                </c:pt>
                <c:pt idx="1">
                  <c:v>1.2</c:v>
                </c:pt>
                <c:pt idx="2">
                  <c:v>1.2</c:v>
                </c:pt>
                <c:pt idx="3">
                  <c:v>1.2</c:v>
                </c:pt>
                <c:pt idx="4">
                  <c:v>1.2</c:v>
                </c:pt>
              </c:numCache>
            </c:numRef>
          </c:val>
          <c:smooth val="0"/>
          <c:extLst>
            <c:ext xmlns:c16="http://schemas.microsoft.com/office/drawing/2014/chart" uri="{C3380CC4-5D6E-409C-BE32-E72D297353CC}">
              <c16:uniqueId val="{0000000B-7D7F-4817-A960-33BD499716E5}"/>
            </c:ext>
          </c:extLst>
        </c:ser>
        <c:dLbls>
          <c:showLegendKey val="0"/>
          <c:showVal val="0"/>
          <c:showCatName val="0"/>
          <c:showSerName val="0"/>
          <c:showPercent val="0"/>
          <c:showBubbleSize val="0"/>
        </c:dLbls>
        <c:marker val="1"/>
        <c:smooth val="0"/>
        <c:axId val="1390774512"/>
        <c:axId val="1390772112"/>
      </c:lineChart>
      <c:catAx>
        <c:axId val="1390774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772112"/>
        <c:crosses val="autoZero"/>
        <c:auto val="1"/>
        <c:lblAlgn val="ctr"/>
        <c:lblOffset val="100"/>
        <c:noMultiLvlLbl val="0"/>
      </c:catAx>
      <c:valAx>
        <c:axId val="1390772112"/>
        <c:scaling>
          <c:orientation val="minMax"/>
        </c:scaling>
        <c:delete val="1"/>
        <c:axPos val="l"/>
        <c:numFmt formatCode="0.00" sourceLinked="1"/>
        <c:majorTickMark val="out"/>
        <c:minorTickMark val="none"/>
        <c:tickLblPos val="nextTo"/>
        <c:crossAx val="1390774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81280</xdr:colOff>
      <xdr:row>0</xdr:row>
      <xdr:rowOff>0</xdr:rowOff>
    </xdr:from>
    <xdr:to>
      <xdr:col>34</xdr:col>
      <xdr:colOff>401320</xdr:colOff>
      <xdr:row>64</xdr:row>
      <xdr:rowOff>152400</xdr:rowOff>
    </xdr:to>
    <xdr:sp macro="" textlink="">
      <xdr:nvSpPr>
        <xdr:cNvPr id="3" name="Rectangle 2">
          <a:extLst>
            <a:ext uri="{FF2B5EF4-FFF2-40B4-BE49-F238E27FC236}">
              <a16:creationId xmlns:a16="http://schemas.microsoft.com/office/drawing/2014/main" id="{F40592AC-A554-46E6-9965-3E1C1225F7E8}"/>
            </a:ext>
          </a:extLst>
        </xdr:cNvPr>
        <xdr:cNvSpPr/>
      </xdr:nvSpPr>
      <xdr:spPr>
        <a:xfrm>
          <a:off x="81280" y="0"/>
          <a:ext cx="20724707" cy="12081933"/>
        </a:xfrm>
        <a:prstGeom prst="rect">
          <a:avLst/>
        </a:prstGeom>
        <a:solidFill>
          <a:schemeClr val="accent3">
            <a:lumMod val="40000"/>
            <a:lumOff val="60000"/>
          </a:schemeClr>
        </a:solidFill>
        <a:ln>
          <a:solidFill>
            <a:schemeClr val="accent3">
              <a:lumMod val="60000"/>
              <a:lumOff val="40000"/>
            </a:schemeClr>
          </a:solidFill>
        </a:ln>
        <a:effectLst>
          <a:glow rad="228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ffectLst>
              <a:reflection blurRad="6350" stA="55000" endA="300" endPos="45500" dir="5400000" sy="-100000" algn="bl" rotWithShape="0"/>
            </a:effectLst>
          </a:endParaRPr>
        </a:p>
      </xdr:txBody>
    </xdr:sp>
    <xdr:clientData/>
  </xdr:twoCellAnchor>
  <xdr:twoCellAnchor>
    <xdr:from>
      <xdr:col>0</xdr:col>
      <xdr:colOff>0</xdr:colOff>
      <xdr:row>0</xdr:row>
      <xdr:rowOff>0</xdr:rowOff>
    </xdr:from>
    <xdr:to>
      <xdr:col>3</xdr:col>
      <xdr:colOff>7620</xdr:colOff>
      <xdr:row>43</xdr:row>
      <xdr:rowOff>129540</xdr:rowOff>
    </xdr:to>
    <xdr:sp macro="" textlink="">
      <xdr:nvSpPr>
        <xdr:cNvPr id="2" name="Rectangle 1">
          <a:extLst>
            <a:ext uri="{FF2B5EF4-FFF2-40B4-BE49-F238E27FC236}">
              <a16:creationId xmlns:a16="http://schemas.microsoft.com/office/drawing/2014/main" id="{537EAAC8-9D91-D2FB-843E-402F0A0638E8}"/>
            </a:ext>
          </a:extLst>
        </xdr:cNvPr>
        <xdr:cNvSpPr/>
      </xdr:nvSpPr>
      <xdr:spPr>
        <a:xfrm>
          <a:off x="0" y="0"/>
          <a:ext cx="1661160" cy="7993380"/>
        </a:xfrm>
        <a:prstGeom prst="rect">
          <a:avLst/>
        </a:prstGeom>
        <a:solidFill>
          <a:schemeClr val="accent3">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xdr:from>
      <xdr:col>14</xdr:col>
      <xdr:colOff>381000</xdr:colOff>
      <xdr:row>0</xdr:row>
      <xdr:rowOff>0</xdr:rowOff>
    </xdr:from>
    <xdr:to>
      <xdr:col>19</xdr:col>
      <xdr:colOff>530860</xdr:colOff>
      <xdr:row>1</xdr:row>
      <xdr:rowOff>25400</xdr:rowOff>
    </xdr:to>
    <xdr:sp macro="" textlink="">
      <xdr:nvSpPr>
        <xdr:cNvPr id="5" name="TextBox 4">
          <a:extLst>
            <a:ext uri="{FF2B5EF4-FFF2-40B4-BE49-F238E27FC236}">
              <a16:creationId xmlns:a16="http://schemas.microsoft.com/office/drawing/2014/main" id="{419F2FF3-8B3B-99B1-B3F6-ACD8924BC09D}"/>
            </a:ext>
          </a:extLst>
        </xdr:cNvPr>
        <xdr:cNvSpPr txBox="1"/>
      </xdr:nvSpPr>
      <xdr:spPr>
        <a:xfrm>
          <a:off x="8593667" y="0"/>
          <a:ext cx="3197860" cy="211667"/>
        </a:xfrm>
        <a:prstGeom prst="rect">
          <a:avLst/>
        </a:prstGeom>
        <a:solidFill>
          <a:schemeClr val="accent3">
            <a:lumMod val="20000"/>
            <a:lumOff val="80000"/>
          </a:schemeClr>
        </a:solidFill>
        <a:ln w="9525" cmpd="sng">
          <a:solidFill>
            <a:schemeClr val="lt1">
              <a:shade val="50000"/>
            </a:schemeClr>
          </a:solidFill>
        </a:ln>
        <a:effectLst>
          <a:glow rad="139700">
            <a:schemeClr val="accent3">
              <a:satMod val="175000"/>
              <a:alpha val="40000"/>
            </a:schemeClr>
          </a:glow>
          <a:reflection blurRad="6350" stA="52000" endA="300" endPos="35000" dir="5400000" sy="-100000" algn="bl" rotWithShape="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badi ExtraLight" panose="020B0204020104020204" pitchFamily="34" charset="0"/>
            </a:rPr>
            <a:t>Financial Performance &amp; Cash Flow Dashboard</a:t>
          </a:r>
        </a:p>
        <a:p>
          <a:endParaRPr lang="en-US" sz="1100"/>
        </a:p>
      </xdr:txBody>
    </xdr:sp>
    <xdr:clientData/>
  </xdr:twoCellAnchor>
  <xdr:twoCellAnchor>
    <xdr:from>
      <xdr:col>0</xdr:col>
      <xdr:colOff>129540</xdr:colOff>
      <xdr:row>3</xdr:row>
      <xdr:rowOff>53340</xdr:rowOff>
    </xdr:from>
    <xdr:to>
      <xdr:col>1</xdr:col>
      <xdr:colOff>1295400</xdr:colOff>
      <xdr:row>6</xdr:row>
      <xdr:rowOff>15240</xdr:rowOff>
    </xdr:to>
    <xdr:sp macro="" textlink="KPIs_Qs!B3">
      <xdr:nvSpPr>
        <xdr:cNvPr id="7" name="TextBox 6">
          <a:extLst>
            <a:ext uri="{FF2B5EF4-FFF2-40B4-BE49-F238E27FC236}">
              <a16:creationId xmlns:a16="http://schemas.microsoft.com/office/drawing/2014/main" id="{9A2067A2-9548-EB9E-BE40-AFC0769F973D}"/>
            </a:ext>
          </a:extLst>
        </xdr:cNvPr>
        <xdr:cNvSpPr txBox="1"/>
      </xdr:nvSpPr>
      <xdr:spPr>
        <a:xfrm>
          <a:off x="129540" y="601980"/>
          <a:ext cx="1303020" cy="51054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62A467-9F8D-4689-A422-48591835A6D8}" type="TxLink">
            <a:rPr lang="en-US" sz="3200" b="0" i="0" u="none" strike="noStrike">
              <a:solidFill>
                <a:schemeClr val="bg1"/>
              </a:solidFill>
              <a:latin typeface="Calibri"/>
              <a:ea typeface="Calibri"/>
              <a:cs typeface="Calibri"/>
            </a:rPr>
            <a:pPr/>
            <a:t>29.5%</a:t>
          </a:fld>
          <a:endParaRPr lang="en-US" sz="3200">
            <a:solidFill>
              <a:schemeClr val="bg1"/>
            </a:solidFill>
          </a:endParaRPr>
        </a:p>
      </xdr:txBody>
    </xdr:sp>
    <xdr:clientData/>
  </xdr:twoCellAnchor>
  <xdr:twoCellAnchor>
    <xdr:from>
      <xdr:col>0</xdr:col>
      <xdr:colOff>76200</xdr:colOff>
      <xdr:row>5</xdr:row>
      <xdr:rowOff>121920</xdr:rowOff>
    </xdr:from>
    <xdr:to>
      <xdr:col>2</xdr:col>
      <xdr:colOff>15240</xdr:colOff>
      <xdr:row>7</xdr:row>
      <xdr:rowOff>7620</xdr:rowOff>
    </xdr:to>
    <xdr:sp macro="" textlink="">
      <xdr:nvSpPr>
        <xdr:cNvPr id="8" name="TextBox 7">
          <a:extLst>
            <a:ext uri="{FF2B5EF4-FFF2-40B4-BE49-F238E27FC236}">
              <a16:creationId xmlns:a16="http://schemas.microsoft.com/office/drawing/2014/main" id="{9EC1F58F-4ECA-913B-21FD-1A6FCD14A0C8}"/>
            </a:ext>
          </a:extLst>
        </xdr:cNvPr>
        <xdr:cNvSpPr txBox="1"/>
      </xdr:nvSpPr>
      <xdr:spPr>
        <a:xfrm>
          <a:off x="76200" y="103632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1</xdr:col>
      <xdr:colOff>15240</xdr:colOff>
      <xdr:row>8</xdr:row>
      <xdr:rowOff>45720</xdr:rowOff>
    </xdr:from>
    <xdr:to>
      <xdr:col>1</xdr:col>
      <xdr:colOff>1211580</xdr:colOff>
      <xdr:row>10</xdr:row>
      <xdr:rowOff>121920</xdr:rowOff>
    </xdr:to>
    <xdr:sp macro="" textlink="KPIs_Qs!C3">
      <xdr:nvSpPr>
        <xdr:cNvPr id="9" name="TextBox 8">
          <a:extLst>
            <a:ext uri="{FF2B5EF4-FFF2-40B4-BE49-F238E27FC236}">
              <a16:creationId xmlns:a16="http://schemas.microsoft.com/office/drawing/2014/main" id="{E280A2D2-6E6F-41CF-8790-4DE4DF9E21D4}"/>
            </a:ext>
          </a:extLst>
        </xdr:cNvPr>
        <xdr:cNvSpPr txBox="1"/>
      </xdr:nvSpPr>
      <xdr:spPr>
        <a:xfrm>
          <a:off x="152400" y="1508760"/>
          <a:ext cx="1196340" cy="44196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BC4671-DD12-4678-AC84-AD313CDE8F30}" type="TxLink">
            <a:rPr lang="en-US" sz="2800" b="0" i="0" u="none" strike="noStrike">
              <a:solidFill>
                <a:schemeClr val="bg1"/>
              </a:solidFill>
              <a:latin typeface="Calibri"/>
              <a:ea typeface="Calibri"/>
              <a:cs typeface="Calibri"/>
            </a:rPr>
            <a:pPr/>
            <a:t>26.7%</a:t>
          </a:fld>
          <a:endParaRPr lang="en-US" sz="2800">
            <a:solidFill>
              <a:schemeClr val="bg1"/>
            </a:solidFill>
          </a:endParaRPr>
        </a:p>
      </xdr:txBody>
    </xdr:sp>
    <xdr:clientData/>
  </xdr:twoCellAnchor>
  <xdr:twoCellAnchor>
    <xdr:from>
      <xdr:col>0</xdr:col>
      <xdr:colOff>91440</xdr:colOff>
      <xdr:row>10</xdr:row>
      <xdr:rowOff>76200</xdr:rowOff>
    </xdr:from>
    <xdr:to>
      <xdr:col>2</xdr:col>
      <xdr:colOff>30480</xdr:colOff>
      <xdr:row>11</xdr:row>
      <xdr:rowOff>144780</xdr:rowOff>
    </xdr:to>
    <xdr:sp macro="" textlink="">
      <xdr:nvSpPr>
        <xdr:cNvPr id="10" name="TextBox 9">
          <a:extLst>
            <a:ext uri="{FF2B5EF4-FFF2-40B4-BE49-F238E27FC236}">
              <a16:creationId xmlns:a16="http://schemas.microsoft.com/office/drawing/2014/main" id="{1F8D3DD3-9233-4887-9B56-9B3C0B2E5CDF}"/>
            </a:ext>
          </a:extLst>
        </xdr:cNvPr>
        <xdr:cNvSpPr txBox="1"/>
      </xdr:nvSpPr>
      <xdr:spPr>
        <a:xfrm>
          <a:off x="91440" y="19050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0</xdr:col>
      <xdr:colOff>0</xdr:colOff>
      <xdr:row>0</xdr:row>
      <xdr:rowOff>0</xdr:rowOff>
    </xdr:from>
    <xdr:to>
      <xdr:col>1</xdr:col>
      <xdr:colOff>868680</xdr:colOff>
      <xdr:row>1</xdr:row>
      <xdr:rowOff>15240</xdr:rowOff>
    </xdr:to>
    <xdr:sp macro="" textlink="">
      <xdr:nvSpPr>
        <xdr:cNvPr id="11" name="TextBox 10">
          <a:extLst>
            <a:ext uri="{FF2B5EF4-FFF2-40B4-BE49-F238E27FC236}">
              <a16:creationId xmlns:a16="http://schemas.microsoft.com/office/drawing/2014/main" id="{762F6AE9-2C20-5F8A-BC9A-1E98CCF9C981}"/>
            </a:ext>
          </a:extLst>
        </xdr:cNvPr>
        <xdr:cNvSpPr txBox="1"/>
      </xdr:nvSpPr>
      <xdr:spPr>
        <a:xfrm>
          <a:off x="0" y="0"/>
          <a:ext cx="1005840" cy="19812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latin typeface="+mj-lt"/>
              <a:cs typeface="Aparajita" panose="020B0502040204020203" pitchFamily="18" charset="0"/>
            </a:rPr>
            <a:t>As on 2025-2021</a:t>
          </a:r>
        </a:p>
      </xdr:txBody>
    </xdr:sp>
    <xdr:clientData/>
  </xdr:twoCellAnchor>
  <xdr:twoCellAnchor>
    <xdr:from>
      <xdr:col>1</xdr:col>
      <xdr:colOff>53340</xdr:colOff>
      <xdr:row>12</xdr:row>
      <xdr:rowOff>175260</xdr:rowOff>
    </xdr:from>
    <xdr:to>
      <xdr:col>1</xdr:col>
      <xdr:colOff>1143000</xdr:colOff>
      <xdr:row>15</xdr:row>
      <xdr:rowOff>38100</xdr:rowOff>
    </xdr:to>
    <xdr:sp macro="" textlink="KPIs_Qs!D3">
      <xdr:nvSpPr>
        <xdr:cNvPr id="12" name="TextBox 11">
          <a:extLst>
            <a:ext uri="{FF2B5EF4-FFF2-40B4-BE49-F238E27FC236}">
              <a16:creationId xmlns:a16="http://schemas.microsoft.com/office/drawing/2014/main" id="{F4328E52-FF9F-4F47-8C3E-7D662470CFF4}"/>
            </a:ext>
          </a:extLst>
        </xdr:cNvPr>
        <xdr:cNvSpPr txBox="1"/>
      </xdr:nvSpPr>
      <xdr:spPr>
        <a:xfrm>
          <a:off x="190500" y="2369820"/>
          <a:ext cx="1089660" cy="41148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6DE945-635D-409A-A976-19066A21D9CF}" type="TxLink">
            <a:rPr lang="en-US" sz="2400" b="0" i="0" u="none" strike="noStrike">
              <a:solidFill>
                <a:schemeClr val="bg1"/>
              </a:solidFill>
              <a:latin typeface="Calibri"/>
              <a:ea typeface="Calibri"/>
              <a:cs typeface="Calibri"/>
            </a:rPr>
            <a:pPr/>
            <a:t>20.6%</a:t>
          </a:fld>
          <a:endParaRPr lang="en-US" sz="2400">
            <a:solidFill>
              <a:schemeClr val="bg1"/>
            </a:solidFill>
          </a:endParaRPr>
        </a:p>
      </xdr:txBody>
    </xdr:sp>
    <xdr:clientData/>
  </xdr:twoCellAnchor>
  <xdr:twoCellAnchor>
    <xdr:from>
      <xdr:col>0</xdr:col>
      <xdr:colOff>91440</xdr:colOff>
      <xdr:row>14</xdr:row>
      <xdr:rowOff>144780</xdr:rowOff>
    </xdr:from>
    <xdr:to>
      <xdr:col>2</xdr:col>
      <xdr:colOff>30480</xdr:colOff>
      <xdr:row>16</xdr:row>
      <xdr:rowOff>30480</xdr:rowOff>
    </xdr:to>
    <xdr:sp macro="" textlink="">
      <xdr:nvSpPr>
        <xdr:cNvPr id="13" name="TextBox 12">
          <a:extLst>
            <a:ext uri="{FF2B5EF4-FFF2-40B4-BE49-F238E27FC236}">
              <a16:creationId xmlns:a16="http://schemas.microsoft.com/office/drawing/2014/main" id="{1B996807-94DC-4555-8D45-795584ED0A0E}"/>
            </a:ext>
          </a:extLst>
        </xdr:cNvPr>
        <xdr:cNvSpPr txBox="1"/>
      </xdr:nvSpPr>
      <xdr:spPr>
        <a:xfrm>
          <a:off x="91440" y="27051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0</xdr:col>
      <xdr:colOff>38100</xdr:colOff>
      <xdr:row>26</xdr:row>
      <xdr:rowOff>160020</xdr:rowOff>
    </xdr:from>
    <xdr:to>
      <xdr:col>1</xdr:col>
      <xdr:colOff>1341120</xdr:colOff>
      <xdr:row>28</xdr:row>
      <xdr:rowOff>45720</xdr:rowOff>
    </xdr:to>
    <xdr:sp macro="" textlink="">
      <xdr:nvSpPr>
        <xdr:cNvPr id="15" name="TextBox 14">
          <a:extLst>
            <a:ext uri="{FF2B5EF4-FFF2-40B4-BE49-F238E27FC236}">
              <a16:creationId xmlns:a16="http://schemas.microsoft.com/office/drawing/2014/main" id="{3E911040-3CFE-4901-945E-D4A40BD38321}"/>
            </a:ext>
          </a:extLst>
        </xdr:cNvPr>
        <xdr:cNvSpPr txBox="1"/>
      </xdr:nvSpPr>
      <xdr:spPr>
        <a:xfrm>
          <a:off x="38100" y="49149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7620</xdr:colOff>
      <xdr:row>21</xdr:row>
      <xdr:rowOff>15240</xdr:rowOff>
    </xdr:from>
    <xdr:to>
      <xdr:col>1</xdr:col>
      <xdr:colOff>1127760</xdr:colOff>
      <xdr:row>22</xdr:row>
      <xdr:rowOff>106680</xdr:rowOff>
    </xdr:to>
    <xdr:sp macro="" textlink="KPIs_Qs!F3">
      <xdr:nvSpPr>
        <xdr:cNvPr id="16" name="TextBox 15">
          <a:extLst>
            <a:ext uri="{FF2B5EF4-FFF2-40B4-BE49-F238E27FC236}">
              <a16:creationId xmlns:a16="http://schemas.microsoft.com/office/drawing/2014/main" id="{4708C6E4-6D91-496D-9359-88213E7A0A8B}"/>
            </a:ext>
          </a:extLst>
        </xdr:cNvPr>
        <xdr:cNvSpPr txBox="1"/>
      </xdr:nvSpPr>
      <xdr:spPr>
        <a:xfrm>
          <a:off x="144780" y="3855720"/>
          <a:ext cx="1120140" cy="27432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CA8CB1-B45F-4CC1-8B32-05BF31984E57}" type="TxLink">
            <a:rPr lang="en-US" sz="1800" b="0" i="0" u="none" strike="noStrike">
              <a:solidFill>
                <a:schemeClr val="bg1"/>
              </a:solidFill>
              <a:latin typeface="Calibri"/>
              <a:ea typeface="Calibri"/>
              <a:cs typeface="Calibri"/>
            </a:rPr>
            <a:pPr/>
            <a:t>20.9%</a:t>
          </a:fld>
          <a:endParaRPr lang="en-US" sz="1800">
            <a:solidFill>
              <a:schemeClr val="bg1"/>
            </a:solidFill>
          </a:endParaRPr>
        </a:p>
      </xdr:txBody>
    </xdr:sp>
    <xdr:clientData/>
  </xdr:twoCellAnchor>
  <xdr:twoCellAnchor>
    <xdr:from>
      <xdr:col>0</xdr:col>
      <xdr:colOff>53340</xdr:colOff>
      <xdr:row>22</xdr:row>
      <xdr:rowOff>76200</xdr:rowOff>
    </xdr:from>
    <xdr:to>
      <xdr:col>1</xdr:col>
      <xdr:colOff>1356360</xdr:colOff>
      <xdr:row>23</xdr:row>
      <xdr:rowOff>144780</xdr:rowOff>
    </xdr:to>
    <xdr:sp macro="" textlink="">
      <xdr:nvSpPr>
        <xdr:cNvPr id="17" name="TextBox 16">
          <a:extLst>
            <a:ext uri="{FF2B5EF4-FFF2-40B4-BE49-F238E27FC236}">
              <a16:creationId xmlns:a16="http://schemas.microsoft.com/office/drawing/2014/main" id="{7355FA30-6A4F-46F6-839F-AE1373B5C39F}"/>
            </a:ext>
          </a:extLst>
        </xdr:cNvPr>
        <xdr:cNvSpPr txBox="1"/>
      </xdr:nvSpPr>
      <xdr:spPr>
        <a:xfrm>
          <a:off x="53340" y="409956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1</xdr:col>
      <xdr:colOff>22860</xdr:colOff>
      <xdr:row>17</xdr:row>
      <xdr:rowOff>45720</xdr:rowOff>
    </xdr:from>
    <xdr:to>
      <xdr:col>1</xdr:col>
      <xdr:colOff>1249680</xdr:colOff>
      <xdr:row>18</xdr:row>
      <xdr:rowOff>167640</xdr:rowOff>
    </xdr:to>
    <xdr:sp macro="" textlink="KPIs_Qs!E3">
      <xdr:nvSpPr>
        <xdr:cNvPr id="18" name="TextBox 17">
          <a:extLst>
            <a:ext uri="{FF2B5EF4-FFF2-40B4-BE49-F238E27FC236}">
              <a16:creationId xmlns:a16="http://schemas.microsoft.com/office/drawing/2014/main" id="{BA5060EF-4853-4C70-AEE7-C0CBEC501AC1}"/>
            </a:ext>
          </a:extLst>
        </xdr:cNvPr>
        <xdr:cNvSpPr txBox="1"/>
      </xdr:nvSpPr>
      <xdr:spPr>
        <a:xfrm>
          <a:off x="160020" y="3154680"/>
          <a:ext cx="1226820" cy="30480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997D95-F3E4-4A5B-AED6-1D282E2225B4}" type="TxLink">
            <a:rPr lang="en-US" sz="2000" b="0" i="0" u="none" strike="noStrike">
              <a:solidFill>
                <a:schemeClr val="bg1"/>
              </a:solidFill>
              <a:latin typeface="Calibri"/>
              <a:ea typeface="Calibri"/>
              <a:cs typeface="Calibri"/>
            </a:rPr>
            <a:pPr/>
            <a:t>17.8%</a:t>
          </a:fld>
          <a:endParaRPr lang="en-US" sz="2000">
            <a:solidFill>
              <a:schemeClr val="bg1"/>
            </a:solidFill>
          </a:endParaRPr>
        </a:p>
      </xdr:txBody>
    </xdr:sp>
    <xdr:clientData/>
  </xdr:twoCellAnchor>
  <xdr:twoCellAnchor>
    <xdr:from>
      <xdr:col>0</xdr:col>
      <xdr:colOff>83820</xdr:colOff>
      <xdr:row>18</xdr:row>
      <xdr:rowOff>137160</xdr:rowOff>
    </xdr:from>
    <xdr:to>
      <xdr:col>2</xdr:col>
      <xdr:colOff>22860</xdr:colOff>
      <xdr:row>20</xdr:row>
      <xdr:rowOff>22860</xdr:rowOff>
    </xdr:to>
    <xdr:sp macro="" textlink="">
      <xdr:nvSpPr>
        <xdr:cNvPr id="19" name="TextBox 18">
          <a:extLst>
            <a:ext uri="{FF2B5EF4-FFF2-40B4-BE49-F238E27FC236}">
              <a16:creationId xmlns:a16="http://schemas.microsoft.com/office/drawing/2014/main" id="{BAB7A031-43AE-479B-9746-602F5064A4B8}"/>
            </a:ext>
          </a:extLst>
        </xdr:cNvPr>
        <xdr:cNvSpPr txBox="1"/>
      </xdr:nvSpPr>
      <xdr:spPr>
        <a:xfrm>
          <a:off x="83820" y="34290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3</xdr:col>
      <xdr:colOff>83820</xdr:colOff>
      <xdr:row>3</xdr:row>
      <xdr:rowOff>106680</xdr:rowOff>
    </xdr:from>
    <xdr:to>
      <xdr:col>5</xdr:col>
      <xdr:colOff>15240</xdr:colOff>
      <xdr:row>6</xdr:row>
      <xdr:rowOff>167640</xdr:rowOff>
    </xdr:to>
    <xdr:sp macro="" textlink="KPIs_Qs!B22">
      <xdr:nvSpPr>
        <xdr:cNvPr id="45" name="TextBox 44">
          <a:extLst>
            <a:ext uri="{FF2B5EF4-FFF2-40B4-BE49-F238E27FC236}">
              <a16:creationId xmlns:a16="http://schemas.microsoft.com/office/drawing/2014/main" id="{F393E7FB-2113-4781-BC96-2946F55C9DA7}"/>
            </a:ext>
          </a:extLst>
        </xdr:cNvPr>
        <xdr:cNvSpPr txBox="1"/>
      </xdr:nvSpPr>
      <xdr:spPr>
        <a:xfrm>
          <a:off x="83820" y="655320"/>
          <a:ext cx="1432560" cy="60960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7BAEAB-4A06-428C-AAF1-61CC45323ACB}" type="TxLink">
            <a:rPr lang="en-US" sz="3200" b="0" i="0" u="none" strike="noStrike">
              <a:solidFill>
                <a:schemeClr val="bg1"/>
              </a:solidFill>
              <a:latin typeface="Calibri"/>
              <a:ea typeface="Calibri"/>
              <a:cs typeface="Calibri"/>
            </a:rPr>
            <a:pPr/>
            <a:t> </a:t>
          </a:fld>
          <a:endParaRPr lang="en-US" sz="3200">
            <a:solidFill>
              <a:schemeClr val="bg1"/>
            </a:solidFill>
          </a:endParaRPr>
        </a:p>
      </xdr:txBody>
    </xdr:sp>
    <xdr:clientData/>
  </xdr:twoCellAnchor>
  <xdr:twoCellAnchor>
    <xdr:from>
      <xdr:col>3</xdr:col>
      <xdr:colOff>76200</xdr:colOff>
      <xdr:row>5</xdr:row>
      <xdr:rowOff>121920</xdr:rowOff>
    </xdr:from>
    <xdr:to>
      <xdr:col>5</xdr:col>
      <xdr:colOff>15240</xdr:colOff>
      <xdr:row>7</xdr:row>
      <xdr:rowOff>7620</xdr:rowOff>
    </xdr:to>
    <xdr:sp macro="" textlink="">
      <xdr:nvSpPr>
        <xdr:cNvPr id="46" name="TextBox 45">
          <a:extLst>
            <a:ext uri="{FF2B5EF4-FFF2-40B4-BE49-F238E27FC236}">
              <a16:creationId xmlns:a16="http://schemas.microsoft.com/office/drawing/2014/main" id="{C748F51E-B558-4749-BB11-88EDEA80BC29}"/>
            </a:ext>
          </a:extLst>
        </xdr:cNvPr>
        <xdr:cNvSpPr txBox="1"/>
      </xdr:nvSpPr>
      <xdr:spPr>
        <a:xfrm>
          <a:off x="76200" y="103632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3</xdr:col>
      <xdr:colOff>99060</xdr:colOff>
      <xdr:row>8</xdr:row>
      <xdr:rowOff>45720</xdr:rowOff>
    </xdr:from>
    <xdr:to>
      <xdr:col>5</xdr:col>
      <xdr:colOff>30480</xdr:colOff>
      <xdr:row>11</xdr:row>
      <xdr:rowOff>106680</xdr:rowOff>
    </xdr:to>
    <xdr:sp macro="" textlink="KPIs_Qs!C3">
      <xdr:nvSpPr>
        <xdr:cNvPr id="47" name="TextBox 46">
          <a:extLst>
            <a:ext uri="{FF2B5EF4-FFF2-40B4-BE49-F238E27FC236}">
              <a16:creationId xmlns:a16="http://schemas.microsoft.com/office/drawing/2014/main" id="{6DE3E42A-856B-4776-99E6-80C969D54E80}"/>
            </a:ext>
          </a:extLst>
        </xdr:cNvPr>
        <xdr:cNvSpPr txBox="1"/>
      </xdr:nvSpPr>
      <xdr:spPr>
        <a:xfrm>
          <a:off x="99060" y="1508760"/>
          <a:ext cx="1432560" cy="60960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BC4671-DD12-4678-AC84-AD313CDE8F30}" type="TxLink">
            <a:rPr lang="en-US" sz="2800" b="0" i="0" u="none" strike="noStrike">
              <a:solidFill>
                <a:schemeClr val="bg1"/>
              </a:solidFill>
              <a:latin typeface="Calibri"/>
              <a:ea typeface="Calibri"/>
              <a:cs typeface="Calibri"/>
            </a:rPr>
            <a:pPr/>
            <a:t>26.7%</a:t>
          </a:fld>
          <a:endParaRPr lang="en-US" sz="2800">
            <a:solidFill>
              <a:schemeClr val="bg1"/>
            </a:solidFill>
          </a:endParaRPr>
        </a:p>
      </xdr:txBody>
    </xdr:sp>
    <xdr:clientData/>
  </xdr:twoCellAnchor>
  <xdr:twoCellAnchor>
    <xdr:from>
      <xdr:col>3</xdr:col>
      <xdr:colOff>91440</xdr:colOff>
      <xdr:row>10</xdr:row>
      <xdr:rowOff>76200</xdr:rowOff>
    </xdr:from>
    <xdr:to>
      <xdr:col>5</xdr:col>
      <xdr:colOff>30480</xdr:colOff>
      <xdr:row>11</xdr:row>
      <xdr:rowOff>144780</xdr:rowOff>
    </xdr:to>
    <xdr:sp macro="" textlink="">
      <xdr:nvSpPr>
        <xdr:cNvPr id="48" name="TextBox 47">
          <a:extLst>
            <a:ext uri="{FF2B5EF4-FFF2-40B4-BE49-F238E27FC236}">
              <a16:creationId xmlns:a16="http://schemas.microsoft.com/office/drawing/2014/main" id="{ABB4E4F3-854D-474F-9BAF-BFA73C4DB13D}"/>
            </a:ext>
          </a:extLst>
        </xdr:cNvPr>
        <xdr:cNvSpPr txBox="1"/>
      </xdr:nvSpPr>
      <xdr:spPr>
        <a:xfrm>
          <a:off x="91440" y="19050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3</xdr:col>
      <xdr:colOff>0</xdr:colOff>
      <xdr:row>0</xdr:row>
      <xdr:rowOff>0</xdr:rowOff>
    </xdr:from>
    <xdr:to>
      <xdr:col>4</xdr:col>
      <xdr:colOff>868680</xdr:colOff>
      <xdr:row>1</xdr:row>
      <xdr:rowOff>15240</xdr:rowOff>
    </xdr:to>
    <xdr:sp macro="" textlink="">
      <xdr:nvSpPr>
        <xdr:cNvPr id="49" name="TextBox 48">
          <a:extLst>
            <a:ext uri="{FF2B5EF4-FFF2-40B4-BE49-F238E27FC236}">
              <a16:creationId xmlns:a16="http://schemas.microsoft.com/office/drawing/2014/main" id="{E8EB52B3-D0BF-473E-8C09-774E8EA5918B}"/>
            </a:ext>
          </a:extLst>
        </xdr:cNvPr>
        <xdr:cNvSpPr txBox="1"/>
      </xdr:nvSpPr>
      <xdr:spPr>
        <a:xfrm>
          <a:off x="0" y="0"/>
          <a:ext cx="1005840" cy="19812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Bell MT" panose="02020503060305020303" pitchFamily="18" charset="0"/>
              <a:cs typeface="Aparajita" panose="020B0502040204020203" pitchFamily="18" charset="0"/>
            </a:rPr>
            <a:t>As on 2025</a:t>
          </a:r>
        </a:p>
      </xdr:txBody>
    </xdr:sp>
    <xdr:clientData/>
  </xdr:twoCellAnchor>
  <xdr:twoCellAnchor>
    <xdr:from>
      <xdr:col>3</xdr:col>
      <xdr:colOff>91440</xdr:colOff>
      <xdr:row>13</xdr:row>
      <xdr:rowOff>0</xdr:rowOff>
    </xdr:from>
    <xdr:to>
      <xdr:col>5</xdr:col>
      <xdr:colOff>22860</xdr:colOff>
      <xdr:row>16</xdr:row>
      <xdr:rowOff>60960</xdr:rowOff>
    </xdr:to>
    <xdr:sp macro="" textlink="KPIs_Qs!D3">
      <xdr:nvSpPr>
        <xdr:cNvPr id="50" name="TextBox 49">
          <a:extLst>
            <a:ext uri="{FF2B5EF4-FFF2-40B4-BE49-F238E27FC236}">
              <a16:creationId xmlns:a16="http://schemas.microsoft.com/office/drawing/2014/main" id="{D334FEB3-B6CA-4FB3-BA41-9B25A0AC3E16}"/>
            </a:ext>
          </a:extLst>
        </xdr:cNvPr>
        <xdr:cNvSpPr txBox="1"/>
      </xdr:nvSpPr>
      <xdr:spPr>
        <a:xfrm>
          <a:off x="91440" y="2377440"/>
          <a:ext cx="1432560" cy="60960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6DE945-635D-409A-A976-19066A21D9CF}" type="TxLink">
            <a:rPr lang="en-US" sz="2400" b="0" i="0" u="none" strike="noStrike">
              <a:solidFill>
                <a:schemeClr val="bg1"/>
              </a:solidFill>
              <a:latin typeface="Calibri"/>
              <a:ea typeface="Calibri"/>
              <a:cs typeface="Calibri"/>
            </a:rPr>
            <a:pPr/>
            <a:t>20.6%</a:t>
          </a:fld>
          <a:endParaRPr lang="en-US" sz="2400">
            <a:solidFill>
              <a:schemeClr val="bg1"/>
            </a:solidFill>
          </a:endParaRPr>
        </a:p>
      </xdr:txBody>
    </xdr:sp>
    <xdr:clientData/>
  </xdr:twoCellAnchor>
  <xdr:twoCellAnchor>
    <xdr:from>
      <xdr:col>3</xdr:col>
      <xdr:colOff>91440</xdr:colOff>
      <xdr:row>14</xdr:row>
      <xdr:rowOff>144780</xdr:rowOff>
    </xdr:from>
    <xdr:to>
      <xdr:col>5</xdr:col>
      <xdr:colOff>30480</xdr:colOff>
      <xdr:row>16</xdr:row>
      <xdr:rowOff>30480</xdr:rowOff>
    </xdr:to>
    <xdr:sp macro="" textlink="">
      <xdr:nvSpPr>
        <xdr:cNvPr id="51" name="TextBox 50">
          <a:extLst>
            <a:ext uri="{FF2B5EF4-FFF2-40B4-BE49-F238E27FC236}">
              <a16:creationId xmlns:a16="http://schemas.microsoft.com/office/drawing/2014/main" id="{42E0940A-7FAE-4C9D-A6C8-2D4423112C2C}"/>
            </a:ext>
          </a:extLst>
        </xdr:cNvPr>
        <xdr:cNvSpPr txBox="1"/>
      </xdr:nvSpPr>
      <xdr:spPr>
        <a:xfrm>
          <a:off x="91440" y="27051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3</xdr:col>
      <xdr:colOff>38100</xdr:colOff>
      <xdr:row>26</xdr:row>
      <xdr:rowOff>160020</xdr:rowOff>
    </xdr:from>
    <xdr:to>
      <xdr:col>4</xdr:col>
      <xdr:colOff>1341120</xdr:colOff>
      <xdr:row>28</xdr:row>
      <xdr:rowOff>45720</xdr:rowOff>
    </xdr:to>
    <xdr:sp macro="" textlink="">
      <xdr:nvSpPr>
        <xdr:cNvPr id="52" name="TextBox 51">
          <a:extLst>
            <a:ext uri="{FF2B5EF4-FFF2-40B4-BE49-F238E27FC236}">
              <a16:creationId xmlns:a16="http://schemas.microsoft.com/office/drawing/2014/main" id="{03168B7C-2935-4C0D-9C13-DA06EC2AAD9C}"/>
            </a:ext>
          </a:extLst>
        </xdr:cNvPr>
        <xdr:cNvSpPr txBox="1"/>
      </xdr:nvSpPr>
      <xdr:spPr>
        <a:xfrm>
          <a:off x="38100" y="49149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91440</xdr:colOff>
      <xdr:row>21</xdr:row>
      <xdr:rowOff>15240</xdr:rowOff>
    </xdr:from>
    <xdr:to>
      <xdr:col>5</xdr:col>
      <xdr:colOff>22860</xdr:colOff>
      <xdr:row>24</xdr:row>
      <xdr:rowOff>76200</xdr:rowOff>
    </xdr:to>
    <xdr:sp macro="" textlink="KPIs_Qs!F3">
      <xdr:nvSpPr>
        <xdr:cNvPr id="53" name="TextBox 52">
          <a:extLst>
            <a:ext uri="{FF2B5EF4-FFF2-40B4-BE49-F238E27FC236}">
              <a16:creationId xmlns:a16="http://schemas.microsoft.com/office/drawing/2014/main" id="{FF91C060-70FD-42BC-9980-966A513B307E}"/>
            </a:ext>
          </a:extLst>
        </xdr:cNvPr>
        <xdr:cNvSpPr txBox="1"/>
      </xdr:nvSpPr>
      <xdr:spPr>
        <a:xfrm>
          <a:off x="91440" y="3855720"/>
          <a:ext cx="1432560" cy="60960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CA8CB1-B45F-4CC1-8B32-05BF31984E57}" type="TxLink">
            <a:rPr lang="en-US" sz="1800" b="0" i="0" u="none" strike="noStrike">
              <a:solidFill>
                <a:schemeClr val="bg1"/>
              </a:solidFill>
              <a:latin typeface="Calibri"/>
              <a:ea typeface="Calibri"/>
              <a:cs typeface="Calibri"/>
            </a:rPr>
            <a:pPr/>
            <a:t>20.9%</a:t>
          </a:fld>
          <a:endParaRPr lang="en-US" sz="1800">
            <a:solidFill>
              <a:schemeClr val="bg1"/>
            </a:solidFill>
          </a:endParaRPr>
        </a:p>
      </xdr:txBody>
    </xdr:sp>
    <xdr:clientData/>
  </xdr:twoCellAnchor>
  <xdr:twoCellAnchor>
    <xdr:from>
      <xdr:col>3</xdr:col>
      <xdr:colOff>53340</xdr:colOff>
      <xdr:row>22</xdr:row>
      <xdr:rowOff>76200</xdr:rowOff>
    </xdr:from>
    <xdr:to>
      <xdr:col>4</xdr:col>
      <xdr:colOff>1356360</xdr:colOff>
      <xdr:row>23</xdr:row>
      <xdr:rowOff>144780</xdr:rowOff>
    </xdr:to>
    <xdr:sp macro="" textlink="">
      <xdr:nvSpPr>
        <xdr:cNvPr id="54" name="TextBox 53">
          <a:extLst>
            <a:ext uri="{FF2B5EF4-FFF2-40B4-BE49-F238E27FC236}">
              <a16:creationId xmlns:a16="http://schemas.microsoft.com/office/drawing/2014/main" id="{CC25652F-7385-46D6-9C77-BD7E3010F98B}"/>
            </a:ext>
          </a:extLst>
        </xdr:cNvPr>
        <xdr:cNvSpPr txBox="1"/>
      </xdr:nvSpPr>
      <xdr:spPr>
        <a:xfrm>
          <a:off x="53340" y="409956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3</xdr:col>
      <xdr:colOff>99060</xdr:colOff>
      <xdr:row>17</xdr:row>
      <xdr:rowOff>60960</xdr:rowOff>
    </xdr:from>
    <xdr:to>
      <xdr:col>5</xdr:col>
      <xdr:colOff>30480</xdr:colOff>
      <xdr:row>20</xdr:row>
      <xdr:rowOff>121920</xdr:rowOff>
    </xdr:to>
    <xdr:sp macro="" textlink="KPIs_Qs!E3">
      <xdr:nvSpPr>
        <xdr:cNvPr id="55" name="TextBox 54">
          <a:extLst>
            <a:ext uri="{FF2B5EF4-FFF2-40B4-BE49-F238E27FC236}">
              <a16:creationId xmlns:a16="http://schemas.microsoft.com/office/drawing/2014/main" id="{EF8D013B-DC76-4564-A9BA-FCC5F5ADF380}"/>
            </a:ext>
          </a:extLst>
        </xdr:cNvPr>
        <xdr:cNvSpPr txBox="1"/>
      </xdr:nvSpPr>
      <xdr:spPr>
        <a:xfrm>
          <a:off x="99060" y="3169920"/>
          <a:ext cx="1432560" cy="60960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997D95-F3E4-4A5B-AED6-1D282E2225B4}" type="TxLink">
            <a:rPr lang="en-US" sz="2000" b="0" i="0" u="none" strike="noStrike">
              <a:solidFill>
                <a:schemeClr val="bg1"/>
              </a:solidFill>
              <a:latin typeface="Calibri"/>
              <a:ea typeface="Calibri"/>
              <a:cs typeface="Calibri"/>
            </a:rPr>
            <a:pPr/>
            <a:t>17.8%</a:t>
          </a:fld>
          <a:endParaRPr lang="en-US" sz="2000">
            <a:solidFill>
              <a:schemeClr val="bg1"/>
            </a:solidFill>
          </a:endParaRPr>
        </a:p>
      </xdr:txBody>
    </xdr:sp>
    <xdr:clientData/>
  </xdr:twoCellAnchor>
  <xdr:twoCellAnchor>
    <xdr:from>
      <xdr:col>3</xdr:col>
      <xdr:colOff>83820</xdr:colOff>
      <xdr:row>18</xdr:row>
      <xdr:rowOff>137160</xdr:rowOff>
    </xdr:from>
    <xdr:to>
      <xdr:col>5</xdr:col>
      <xdr:colOff>22860</xdr:colOff>
      <xdr:row>20</xdr:row>
      <xdr:rowOff>22860</xdr:rowOff>
    </xdr:to>
    <xdr:sp macro="" textlink="">
      <xdr:nvSpPr>
        <xdr:cNvPr id="56" name="TextBox 55">
          <a:extLst>
            <a:ext uri="{FF2B5EF4-FFF2-40B4-BE49-F238E27FC236}">
              <a16:creationId xmlns:a16="http://schemas.microsoft.com/office/drawing/2014/main" id="{E35B06A6-8026-44B5-AD11-E3DDC5CB977A}"/>
            </a:ext>
          </a:extLst>
        </xdr:cNvPr>
        <xdr:cNvSpPr txBox="1"/>
      </xdr:nvSpPr>
      <xdr:spPr>
        <a:xfrm>
          <a:off x="83820" y="34290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3</xdr:col>
      <xdr:colOff>0</xdr:colOff>
      <xdr:row>0</xdr:row>
      <xdr:rowOff>0</xdr:rowOff>
    </xdr:from>
    <xdr:to>
      <xdr:col>6</xdr:col>
      <xdr:colOff>121920</xdr:colOff>
      <xdr:row>44</xdr:row>
      <xdr:rowOff>30480</xdr:rowOff>
    </xdr:to>
    <xdr:sp macro="" textlink="">
      <xdr:nvSpPr>
        <xdr:cNvPr id="58" name="TextBox 57">
          <a:extLst>
            <a:ext uri="{FF2B5EF4-FFF2-40B4-BE49-F238E27FC236}">
              <a16:creationId xmlns:a16="http://schemas.microsoft.com/office/drawing/2014/main" id="{77A0F496-B837-65B9-EFD6-8C4EA7BCD681}"/>
            </a:ext>
          </a:extLst>
        </xdr:cNvPr>
        <xdr:cNvSpPr txBox="1"/>
      </xdr:nvSpPr>
      <xdr:spPr>
        <a:xfrm>
          <a:off x="1653540" y="0"/>
          <a:ext cx="2232660" cy="807720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xdr:txBody>
    </xdr:sp>
    <xdr:clientData/>
  </xdr:twoCellAnchor>
  <xdr:twoCellAnchor>
    <xdr:from>
      <xdr:col>4</xdr:col>
      <xdr:colOff>22860</xdr:colOff>
      <xdr:row>5</xdr:row>
      <xdr:rowOff>121920</xdr:rowOff>
    </xdr:from>
    <xdr:to>
      <xdr:col>5</xdr:col>
      <xdr:colOff>99060</xdr:colOff>
      <xdr:row>7</xdr:row>
      <xdr:rowOff>7620</xdr:rowOff>
    </xdr:to>
    <xdr:sp macro="" textlink="">
      <xdr:nvSpPr>
        <xdr:cNvPr id="84" name="TextBox 83">
          <a:extLst>
            <a:ext uri="{FF2B5EF4-FFF2-40B4-BE49-F238E27FC236}">
              <a16:creationId xmlns:a16="http://schemas.microsoft.com/office/drawing/2014/main" id="{CC550425-09CB-4156-B043-073108B5733E}"/>
            </a:ext>
          </a:extLst>
        </xdr:cNvPr>
        <xdr:cNvSpPr txBox="1"/>
      </xdr:nvSpPr>
      <xdr:spPr>
        <a:xfrm>
          <a:off x="1813560" y="103632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4</xdr:col>
      <xdr:colOff>0</xdr:colOff>
      <xdr:row>10</xdr:row>
      <xdr:rowOff>45720</xdr:rowOff>
    </xdr:from>
    <xdr:to>
      <xdr:col>5</xdr:col>
      <xdr:colOff>76200</xdr:colOff>
      <xdr:row>11</xdr:row>
      <xdr:rowOff>114300</xdr:rowOff>
    </xdr:to>
    <xdr:sp macro="" textlink="">
      <xdr:nvSpPr>
        <xdr:cNvPr id="86" name="TextBox 85">
          <a:extLst>
            <a:ext uri="{FF2B5EF4-FFF2-40B4-BE49-F238E27FC236}">
              <a16:creationId xmlns:a16="http://schemas.microsoft.com/office/drawing/2014/main" id="{FA6BE7AA-7C33-4EFD-888C-EB665820FF72}"/>
            </a:ext>
          </a:extLst>
        </xdr:cNvPr>
        <xdr:cNvSpPr txBox="1"/>
      </xdr:nvSpPr>
      <xdr:spPr>
        <a:xfrm>
          <a:off x="1790700" y="187452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3</xdr:col>
      <xdr:colOff>0</xdr:colOff>
      <xdr:row>0</xdr:row>
      <xdr:rowOff>0</xdr:rowOff>
    </xdr:from>
    <xdr:to>
      <xdr:col>4</xdr:col>
      <xdr:colOff>868680</xdr:colOff>
      <xdr:row>1</xdr:row>
      <xdr:rowOff>15240</xdr:rowOff>
    </xdr:to>
    <xdr:sp macro="" textlink="">
      <xdr:nvSpPr>
        <xdr:cNvPr id="87" name="TextBox 86">
          <a:extLst>
            <a:ext uri="{FF2B5EF4-FFF2-40B4-BE49-F238E27FC236}">
              <a16:creationId xmlns:a16="http://schemas.microsoft.com/office/drawing/2014/main" id="{03D6F4A4-35D7-4BC4-AD49-5FAA0DE87F0F}"/>
            </a:ext>
          </a:extLst>
        </xdr:cNvPr>
        <xdr:cNvSpPr txBox="1"/>
      </xdr:nvSpPr>
      <xdr:spPr>
        <a:xfrm>
          <a:off x="0" y="0"/>
          <a:ext cx="1005840" cy="198120"/>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latin typeface="+mj-lt"/>
              <a:cs typeface="Aparajita" panose="020B0502040204020203" pitchFamily="18" charset="0"/>
            </a:rPr>
            <a:t>As on 2025-2021</a:t>
          </a:r>
        </a:p>
      </xdr:txBody>
    </xdr:sp>
    <xdr:clientData/>
  </xdr:twoCellAnchor>
  <xdr:twoCellAnchor>
    <xdr:from>
      <xdr:col>4</xdr:col>
      <xdr:colOff>83820</xdr:colOff>
      <xdr:row>13</xdr:row>
      <xdr:rowOff>0</xdr:rowOff>
    </xdr:from>
    <xdr:to>
      <xdr:col>5</xdr:col>
      <xdr:colOff>152400</xdr:colOff>
      <xdr:row>16</xdr:row>
      <xdr:rowOff>60960</xdr:rowOff>
    </xdr:to>
    <xdr:sp macro="" textlink="Ratios!S5">
      <xdr:nvSpPr>
        <xdr:cNvPr id="88" name="TextBox 87">
          <a:extLst>
            <a:ext uri="{FF2B5EF4-FFF2-40B4-BE49-F238E27FC236}">
              <a16:creationId xmlns:a16="http://schemas.microsoft.com/office/drawing/2014/main" id="{153FD687-793E-4561-ACF9-AC801BAEB3BB}"/>
            </a:ext>
          </a:extLst>
        </xdr:cNvPr>
        <xdr:cNvSpPr txBox="1"/>
      </xdr:nvSpPr>
      <xdr:spPr>
        <a:xfrm>
          <a:off x="1874520" y="2377440"/>
          <a:ext cx="1432560" cy="609600"/>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859499-67BB-41C4-94E7-CE6AFFBB03C9}" type="TxLink">
            <a:rPr lang="en-US" sz="2400" b="0" i="0" u="none" strike="noStrike">
              <a:solidFill>
                <a:schemeClr val="bg1"/>
              </a:solidFill>
              <a:latin typeface="Calibri"/>
              <a:ea typeface="Calibri"/>
              <a:cs typeface="Calibri"/>
            </a:rPr>
            <a:pPr/>
            <a:t>5.7%</a:t>
          </a:fld>
          <a:endParaRPr lang="en-US" sz="2400">
            <a:solidFill>
              <a:schemeClr val="bg1"/>
            </a:solidFill>
          </a:endParaRPr>
        </a:p>
      </xdr:txBody>
    </xdr:sp>
    <xdr:clientData/>
  </xdr:twoCellAnchor>
  <xdr:twoCellAnchor>
    <xdr:from>
      <xdr:col>3</xdr:col>
      <xdr:colOff>91440</xdr:colOff>
      <xdr:row>14</xdr:row>
      <xdr:rowOff>144780</xdr:rowOff>
    </xdr:from>
    <xdr:to>
      <xdr:col>5</xdr:col>
      <xdr:colOff>30480</xdr:colOff>
      <xdr:row>16</xdr:row>
      <xdr:rowOff>30480</xdr:rowOff>
    </xdr:to>
    <xdr:sp macro="" textlink="">
      <xdr:nvSpPr>
        <xdr:cNvPr id="89" name="TextBox 88">
          <a:extLst>
            <a:ext uri="{FF2B5EF4-FFF2-40B4-BE49-F238E27FC236}">
              <a16:creationId xmlns:a16="http://schemas.microsoft.com/office/drawing/2014/main" id="{8CAF2F0E-B5A9-460D-88CC-1CC4CFDB80F2}"/>
            </a:ext>
          </a:extLst>
        </xdr:cNvPr>
        <xdr:cNvSpPr txBox="1"/>
      </xdr:nvSpPr>
      <xdr:spPr>
        <a:xfrm>
          <a:off x="91440" y="27051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3</xdr:col>
      <xdr:colOff>38100</xdr:colOff>
      <xdr:row>26</xdr:row>
      <xdr:rowOff>160020</xdr:rowOff>
    </xdr:from>
    <xdr:to>
      <xdr:col>4</xdr:col>
      <xdr:colOff>1341120</xdr:colOff>
      <xdr:row>28</xdr:row>
      <xdr:rowOff>45720</xdr:rowOff>
    </xdr:to>
    <xdr:sp macro="" textlink="">
      <xdr:nvSpPr>
        <xdr:cNvPr id="90" name="TextBox 89">
          <a:extLst>
            <a:ext uri="{FF2B5EF4-FFF2-40B4-BE49-F238E27FC236}">
              <a16:creationId xmlns:a16="http://schemas.microsoft.com/office/drawing/2014/main" id="{3C9C50AF-1306-4023-93EB-4766167EC916}"/>
            </a:ext>
          </a:extLst>
        </xdr:cNvPr>
        <xdr:cNvSpPr txBox="1"/>
      </xdr:nvSpPr>
      <xdr:spPr>
        <a:xfrm>
          <a:off x="38100" y="49149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53340</xdr:colOff>
      <xdr:row>22</xdr:row>
      <xdr:rowOff>76200</xdr:rowOff>
    </xdr:from>
    <xdr:to>
      <xdr:col>4</xdr:col>
      <xdr:colOff>1356360</xdr:colOff>
      <xdr:row>23</xdr:row>
      <xdr:rowOff>144780</xdr:rowOff>
    </xdr:to>
    <xdr:sp macro="" textlink="">
      <xdr:nvSpPr>
        <xdr:cNvPr id="92" name="TextBox 91">
          <a:extLst>
            <a:ext uri="{FF2B5EF4-FFF2-40B4-BE49-F238E27FC236}">
              <a16:creationId xmlns:a16="http://schemas.microsoft.com/office/drawing/2014/main" id="{EB792E7F-6602-42F0-9500-34DA7CF4F74F}"/>
            </a:ext>
          </a:extLst>
        </xdr:cNvPr>
        <xdr:cNvSpPr txBox="1"/>
      </xdr:nvSpPr>
      <xdr:spPr>
        <a:xfrm>
          <a:off x="53340" y="409956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3</xdr:col>
      <xdr:colOff>83820</xdr:colOff>
      <xdr:row>18</xdr:row>
      <xdr:rowOff>137160</xdr:rowOff>
    </xdr:from>
    <xdr:to>
      <xdr:col>5</xdr:col>
      <xdr:colOff>22860</xdr:colOff>
      <xdr:row>20</xdr:row>
      <xdr:rowOff>22860</xdr:rowOff>
    </xdr:to>
    <xdr:sp macro="" textlink="">
      <xdr:nvSpPr>
        <xdr:cNvPr id="94" name="TextBox 93">
          <a:extLst>
            <a:ext uri="{FF2B5EF4-FFF2-40B4-BE49-F238E27FC236}">
              <a16:creationId xmlns:a16="http://schemas.microsoft.com/office/drawing/2014/main" id="{B860295D-3D36-43A0-965F-2ED4B39E21EA}"/>
            </a:ext>
          </a:extLst>
        </xdr:cNvPr>
        <xdr:cNvSpPr txBox="1"/>
      </xdr:nvSpPr>
      <xdr:spPr>
        <a:xfrm>
          <a:off x="83820" y="342900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badi" panose="020B0604020104020204" pitchFamily="34" charset="0"/>
            </a:rPr>
            <a:t>Operating</a:t>
          </a:r>
          <a:r>
            <a:rPr lang="en-US" sz="1100"/>
            <a:t> </a:t>
          </a:r>
          <a:r>
            <a:rPr lang="en-US" sz="800"/>
            <a:t>Margin</a:t>
          </a:r>
          <a:r>
            <a:rPr lang="en-US" sz="1100"/>
            <a:t> (%)</a:t>
          </a:r>
        </a:p>
        <a:p>
          <a:endParaRPr lang="en-US" sz="1100"/>
        </a:p>
      </xdr:txBody>
    </xdr:sp>
    <xdr:clientData/>
  </xdr:twoCellAnchor>
  <xdr:twoCellAnchor>
    <xdr:from>
      <xdr:col>4</xdr:col>
      <xdr:colOff>91440</xdr:colOff>
      <xdr:row>3</xdr:row>
      <xdr:rowOff>38100</xdr:rowOff>
    </xdr:from>
    <xdr:to>
      <xdr:col>5</xdr:col>
      <xdr:colOff>160020</xdr:colOff>
      <xdr:row>5</xdr:row>
      <xdr:rowOff>160020</xdr:rowOff>
    </xdr:to>
    <xdr:sp macro="" textlink="Ratios!Q5">
      <xdr:nvSpPr>
        <xdr:cNvPr id="95" name="TextBox 94">
          <a:extLst>
            <a:ext uri="{FF2B5EF4-FFF2-40B4-BE49-F238E27FC236}">
              <a16:creationId xmlns:a16="http://schemas.microsoft.com/office/drawing/2014/main" id="{44A8DC6C-70D3-43B6-AF15-6F0AC4A5AC0F}"/>
            </a:ext>
          </a:extLst>
        </xdr:cNvPr>
        <xdr:cNvSpPr txBox="1"/>
      </xdr:nvSpPr>
      <xdr:spPr>
        <a:xfrm>
          <a:off x="1882140" y="586740"/>
          <a:ext cx="1432560" cy="487680"/>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1ACFF2-549F-402D-9F01-C22C2B6FE872}" type="TxLink">
            <a:rPr lang="en-US" sz="3200" b="0" i="0" u="none" strike="noStrike">
              <a:solidFill>
                <a:schemeClr val="bg1"/>
              </a:solidFill>
              <a:latin typeface="Calibri"/>
              <a:ea typeface="Calibri"/>
              <a:cs typeface="Calibri"/>
            </a:rPr>
            <a:pPr/>
            <a:t>13.8%</a:t>
          </a:fld>
          <a:endParaRPr lang="en-US" sz="3200">
            <a:solidFill>
              <a:schemeClr val="bg1"/>
            </a:solidFill>
          </a:endParaRPr>
        </a:p>
      </xdr:txBody>
    </xdr:sp>
    <xdr:clientData/>
  </xdr:twoCellAnchor>
  <xdr:twoCellAnchor>
    <xdr:from>
      <xdr:col>4</xdr:col>
      <xdr:colOff>53340</xdr:colOff>
      <xdr:row>17</xdr:row>
      <xdr:rowOff>30480</xdr:rowOff>
    </xdr:from>
    <xdr:to>
      <xdr:col>4</xdr:col>
      <xdr:colOff>1120140</xdr:colOff>
      <xdr:row>19</xdr:row>
      <xdr:rowOff>7620</xdr:rowOff>
    </xdr:to>
    <xdr:sp macro="" textlink="Ratios!T5">
      <xdr:nvSpPr>
        <xdr:cNvPr id="102" name="TextBox 101">
          <a:extLst>
            <a:ext uri="{FF2B5EF4-FFF2-40B4-BE49-F238E27FC236}">
              <a16:creationId xmlns:a16="http://schemas.microsoft.com/office/drawing/2014/main" id="{85D22BA2-455B-47BC-9E6D-E2423C142EE3}"/>
            </a:ext>
          </a:extLst>
        </xdr:cNvPr>
        <xdr:cNvSpPr txBox="1"/>
      </xdr:nvSpPr>
      <xdr:spPr>
        <a:xfrm>
          <a:off x="1844040" y="3139440"/>
          <a:ext cx="1066800" cy="342900"/>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F52031-E852-44E0-A13A-48EF17442D98}" type="TxLink">
            <a:rPr lang="en-US" sz="2000" b="0" i="0" u="none" strike="noStrike">
              <a:solidFill>
                <a:schemeClr val="bg1"/>
              </a:solidFill>
              <a:latin typeface="Calibri"/>
              <a:ea typeface="Calibri"/>
              <a:cs typeface="Calibri"/>
            </a:rPr>
            <a:pPr/>
            <a:t>7.9%</a:t>
          </a:fld>
          <a:endParaRPr lang="en-US" sz="2000">
            <a:solidFill>
              <a:schemeClr val="bg1"/>
            </a:solidFill>
          </a:endParaRPr>
        </a:p>
      </xdr:txBody>
    </xdr:sp>
    <xdr:clientData/>
  </xdr:twoCellAnchor>
  <xdr:twoCellAnchor>
    <xdr:from>
      <xdr:col>4</xdr:col>
      <xdr:colOff>83820</xdr:colOff>
      <xdr:row>20</xdr:row>
      <xdr:rowOff>144780</xdr:rowOff>
    </xdr:from>
    <xdr:to>
      <xdr:col>4</xdr:col>
      <xdr:colOff>1226820</xdr:colOff>
      <xdr:row>22</xdr:row>
      <xdr:rowOff>160020</xdr:rowOff>
    </xdr:to>
    <xdr:sp macro="" textlink="Ratios!U5">
      <xdr:nvSpPr>
        <xdr:cNvPr id="103" name="TextBox 102">
          <a:extLst>
            <a:ext uri="{FF2B5EF4-FFF2-40B4-BE49-F238E27FC236}">
              <a16:creationId xmlns:a16="http://schemas.microsoft.com/office/drawing/2014/main" id="{3AE5A072-BF1E-465D-9FAC-2CE4F533D554}"/>
            </a:ext>
          </a:extLst>
        </xdr:cNvPr>
        <xdr:cNvSpPr txBox="1"/>
      </xdr:nvSpPr>
      <xdr:spPr>
        <a:xfrm>
          <a:off x="1874520" y="3802380"/>
          <a:ext cx="1143000" cy="381000"/>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FBF095-3BFE-4D96-A67D-739960282800}" type="TxLink">
            <a:rPr lang="en-US" sz="1800" b="0" i="0" u="none" strike="noStrike">
              <a:solidFill>
                <a:schemeClr val="bg1"/>
              </a:solidFill>
              <a:latin typeface="Calibri"/>
              <a:ea typeface="Calibri"/>
              <a:cs typeface="Calibri"/>
            </a:rPr>
            <a:pPr/>
            <a:t>4.5%</a:t>
          </a:fld>
          <a:endParaRPr lang="en-US" sz="1800">
            <a:solidFill>
              <a:schemeClr val="bg1"/>
            </a:solidFill>
          </a:endParaRPr>
        </a:p>
      </xdr:txBody>
    </xdr:sp>
    <xdr:clientData/>
  </xdr:twoCellAnchor>
  <xdr:twoCellAnchor>
    <xdr:from>
      <xdr:col>0</xdr:col>
      <xdr:colOff>0</xdr:colOff>
      <xdr:row>0</xdr:row>
      <xdr:rowOff>152400</xdr:rowOff>
    </xdr:from>
    <xdr:to>
      <xdr:col>1</xdr:col>
      <xdr:colOff>510540</xdr:colOff>
      <xdr:row>1</xdr:row>
      <xdr:rowOff>175260</xdr:rowOff>
    </xdr:to>
    <xdr:sp macro="" textlink="">
      <xdr:nvSpPr>
        <xdr:cNvPr id="104" name="TextBox 103">
          <a:extLst>
            <a:ext uri="{FF2B5EF4-FFF2-40B4-BE49-F238E27FC236}">
              <a16:creationId xmlns:a16="http://schemas.microsoft.com/office/drawing/2014/main" id="{B966C4DC-927A-FEF5-6F47-501DD4AD719B}"/>
            </a:ext>
          </a:extLst>
        </xdr:cNvPr>
        <xdr:cNvSpPr txBox="1"/>
      </xdr:nvSpPr>
      <xdr:spPr>
        <a:xfrm>
          <a:off x="0" y="152400"/>
          <a:ext cx="647700" cy="20574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u="sng" strike="noStrike">
              <a:solidFill>
                <a:schemeClr val="dk1"/>
              </a:solidFill>
              <a:effectLst/>
              <a:latin typeface="+mn-lt"/>
              <a:ea typeface="+mn-ea"/>
              <a:cs typeface="+mn-cs"/>
            </a:rPr>
            <a:t>Netflix</a:t>
          </a:r>
          <a:r>
            <a:rPr lang="en-US">
              <a:effectLst/>
            </a:rPr>
            <a:t> </a:t>
          </a:r>
          <a:endParaRPr lang="en-US" sz="1100"/>
        </a:p>
      </xdr:txBody>
    </xdr:sp>
    <xdr:clientData/>
  </xdr:twoCellAnchor>
  <xdr:twoCellAnchor>
    <xdr:from>
      <xdr:col>3</xdr:col>
      <xdr:colOff>0</xdr:colOff>
      <xdr:row>0</xdr:row>
      <xdr:rowOff>144780</xdr:rowOff>
    </xdr:from>
    <xdr:to>
      <xdr:col>4</xdr:col>
      <xdr:colOff>1181100</xdr:colOff>
      <xdr:row>1</xdr:row>
      <xdr:rowOff>152400</xdr:rowOff>
    </xdr:to>
    <xdr:sp macro="" textlink="">
      <xdr:nvSpPr>
        <xdr:cNvPr id="106" name="TextBox 105">
          <a:extLst>
            <a:ext uri="{FF2B5EF4-FFF2-40B4-BE49-F238E27FC236}">
              <a16:creationId xmlns:a16="http://schemas.microsoft.com/office/drawing/2014/main" id="{94ADEAC4-923C-97B2-44FC-B3E0A502D91A}"/>
            </a:ext>
          </a:extLst>
        </xdr:cNvPr>
        <xdr:cNvSpPr txBox="1"/>
      </xdr:nvSpPr>
      <xdr:spPr>
        <a:xfrm>
          <a:off x="1653540" y="144780"/>
          <a:ext cx="1318260" cy="190500"/>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i="1" u="sng" strike="noStrike">
              <a:solidFill>
                <a:schemeClr val="dk1"/>
              </a:solidFill>
              <a:effectLst/>
              <a:latin typeface="+mn-lt"/>
              <a:ea typeface="+mn-ea"/>
              <a:cs typeface="+mn-cs"/>
            </a:rPr>
            <a:t>The Walt Disney Company</a:t>
          </a:r>
          <a:r>
            <a:rPr lang="en-US" sz="800">
              <a:effectLst/>
            </a:rPr>
            <a:t> </a:t>
          </a:r>
          <a:endParaRPr lang="en-US" sz="800"/>
        </a:p>
      </xdr:txBody>
    </xdr:sp>
    <xdr:clientData/>
  </xdr:twoCellAnchor>
  <xdr:twoCellAnchor>
    <xdr:from>
      <xdr:col>8</xdr:col>
      <xdr:colOff>372534</xdr:colOff>
      <xdr:row>46</xdr:row>
      <xdr:rowOff>59268</xdr:rowOff>
    </xdr:from>
    <xdr:to>
      <xdr:col>8</xdr:col>
      <xdr:colOff>601134</xdr:colOff>
      <xdr:row>46</xdr:row>
      <xdr:rowOff>135468</xdr:rowOff>
    </xdr:to>
    <xdr:sp macro="" textlink="">
      <xdr:nvSpPr>
        <xdr:cNvPr id="10241" name="Text Box 1">
          <a:extLst>
            <a:ext uri="{FF2B5EF4-FFF2-40B4-BE49-F238E27FC236}">
              <a16:creationId xmlns:a16="http://schemas.microsoft.com/office/drawing/2014/main" id="{4FAA67E5-114F-5865-0D36-3E983FB93783}"/>
            </a:ext>
          </a:extLst>
        </xdr:cNvPr>
        <xdr:cNvSpPr txBox="1">
          <a:spLocks noChangeArrowheads="1"/>
        </xdr:cNvSpPr>
      </xdr:nvSpPr>
      <xdr:spPr bwMode="auto">
        <a:xfrm>
          <a:off x="4927601" y="8636001"/>
          <a:ext cx="228600" cy="762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0</xdr:col>
      <xdr:colOff>0</xdr:colOff>
      <xdr:row>1</xdr:row>
      <xdr:rowOff>175260</xdr:rowOff>
    </xdr:from>
    <xdr:to>
      <xdr:col>1</xdr:col>
      <xdr:colOff>1150620</xdr:colOff>
      <xdr:row>3</xdr:row>
      <xdr:rowOff>7620</xdr:rowOff>
    </xdr:to>
    <xdr:sp macro="" textlink="">
      <xdr:nvSpPr>
        <xdr:cNvPr id="108" name="TextBox 107">
          <a:extLst>
            <a:ext uri="{FF2B5EF4-FFF2-40B4-BE49-F238E27FC236}">
              <a16:creationId xmlns:a16="http://schemas.microsoft.com/office/drawing/2014/main" id="{ED567F99-0093-2124-C3C8-C34CCB49D8A8}"/>
            </a:ext>
          </a:extLst>
        </xdr:cNvPr>
        <xdr:cNvSpPr txBox="1"/>
      </xdr:nvSpPr>
      <xdr:spPr>
        <a:xfrm>
          <a:off x="0" y="358140"/>
          <a:ext cx="1287780" cy="19812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Revenue (2025): </a:t>
          </a:r>
          <a:r>
            <a:rPr lang="en-US" sz="800" b="1"/>
            <a:t>$45.18B</a:t>
          </a:r>
          <a:endParaRPr lang="en-US" sz="800"/>
        </a:p>
      </xdr:txBody>
    </xdr:sp>
    <xdr:clientData/>
  </xdr:twoCellAnchor>
  <xdr:twoCellAnchor>
    <xdr:from>
      <xdr:col>3</xdr:col>
      <xdr:colOff>15240</xdr:colOff>
      <xdr:row>1</xdr:row>
      <xdr:rowOff>144780</xdr:rowOff>
    </xdr:from>
    <xdr:to>
      <xdr:col>4</xdr:col>
      <xdr:colOff>1089660</xdr:colOff>
      <xdr:row>3</xdr:row>
      <xdr:rowOff>15240</xdr:rowOff>
    </xdr:to>
    <xdr:sp macro="" textlink="">
      <xdr:nvSpPr>
        <xdr:cNvPr id="109" name="TextBox 108">
          <a:extLst>
            <a:ext uri="{FF2B5EF4-FFF2-40B4-BE49-F238E27FC236}">
              <a16:creationId xmlns:a16="http://schemas.microsoft.com/office/drawing/2014/main" id="{910157CA-4436-1E87-BEF2-F8EB010A8772}"/>
            </a:ext>
          </a:extLst>
        </xdr:cNvPr>
        <xdr:cNvSpPr txBox="1"/>
      </xdr:nvSpPr>
      <xdr:spPr>
        <a:xfrm>
          <a:off x="1668780" y="327660"/>
          <a:ext cx="1211580" cy="236220"/>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Revenue (2025): </a:t>
          </a:r>
          <a:r>
            <a:rPr lang="en-US" sz="800" b="1"/>
            <a:t>$94.4B</a:t>
          </a:r>
          <a:endParaRPr lang="en-US" sz="800"/>
        </a:p>
      </xdr:txBody>
    </xdr:sp>
    <xdr:clientData/>
  </xdr:twoCellAnchor>
  <xdr:twoCellAnchor>
    <xdr:from>
      <xdr:col>6</xdr:col>
      <xdr:colOff>68580</xdr:colOff>
      <xdr:row>1</xdr:row>
      <xdr:rowOff>45720</xdr:rowOff>
    </xdr:from>
    <xdr:to>
      <xdr:col>12</xdr:col>
      <xdr:colOff>342900</xdr:colOff>
      <xdr:row>12</xdr:row>
      <xdr:rowOff>83820</xdr:rowOff>
    </xdr:to>
    <xdr:graphicFrame macro="">
      <xdr:nvGraphicFramePr>
        <xdr:cNvPr id="14" name="Chart 13">
          <a:extLst>
            <a:ext uri="{FF2B5EF4-FFF2-40B4-BE49-F238E27FC236}">
              <a16:creationId xmlns:a16="http://schemas.microsoft.com/office/drawing/2014/main" id="{9C29D882-5D9D-4D09-B15A-7D432637E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167640</xdr:colOff>
      <xdr:row>13</xdr:row>
      <xdr:rowOff>99060</xdr:rowOff>
    </xdr:from>
    <xdr:to>
      <xdr:col>13</xdr:col>
      <xdr:colOff>464820</xdr:colOff>
      <xdr:row>23</xdr:row>
      <xdr:rowOff>68580</xdr:rowOff>
    </xdr:to>
    <xdr:graphicFrame macro="">
      <xdr:nvGraphicFramePr>
        <xdr:cNvPr id="20" name="Chart 19">
          <a:extLst>
            <a:ext uri="{FF2B5EF4-FFF2-40B4-BE49-F238E27FC236}">
              <a16:creationId xmlns:a16="http://schemas.microsoft.com/office/drawing/2014/main" id="{3B42F4C9-5EA1-411B-8F6F-847A947C0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518160</xdr:colOff>
      <xdr:row>2</xdr:row>
      <xdr:rowOff>0</xdr:rowOff>
    </xdr:from>
    <xdr:to>
      <xdr:col>22</xdr:col>
      <xdr:colOff>175260</xdr:colOff>
      <xdr:row>14</xdr:row>
      <xdr:rowOff>137160</xdr:rowOff>
    </xdr:to>
    <xdr:graphicFrame macro="">
      <xdr:nvGraphicFramePr>
        <xdr:cNvPr id="21" name="Chart 20">
          <a:extLst>
            <a:ext uri="{FF2B5EF4-FFF2-40B4-BE49-F238E27FC236}">
              <a16:creationId xmlns:a16="http://schemas.microsoft.com/office/drawing/2014/main" id="{92FEE3B5-B302-4959-8AAF-E3E67424C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445347</xdr:colOff>
      <xdr:row>18</xdr:row>
      <xdr:rowOff>161714</xdr:rowOff>
    </xdr:from>
    <xdr:to>
      <xdr:col>20</xdr:col>
      <xdr:colOff>384387</xdr:colOff>
      <xdr:row>29</xdr:row>
      <xdr:rowOff>169334</xdr:rowOff>
    </xdr:to>
    <xdr:graphicFrame macro="">
      <xdr:nvGraphicFramePr>
        <xdr:cNvPr id="22" name="Chart 21">
          <a:extLst>
            <a:ext uri="{FF2B5EF4-FFF2-40B4-BE49-F238E27FC236}">
              <a16:creationId xmlns:a16="http://schemas.microsoft.com/office/drawing/2014/main" id="{8DACB981-D7F9-4327-9839-C81C4ACDA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535940</xdr:colOff>
      <xdr:row>14</xdr:row>
      <xdr:rowOff>26248</xdr:rowOff>
    </xdr:from>
    <xdr:to>
      <xdr:col>27</xdr:col>
      <xdr:colOff>169333</xdr:colOff>
      <xdr:row>26</xdr:row>
      <xdr:rowOff>82975</xdr:rowOff>
    </xdr:to>
    <xdr:graphicFrame macro="">
      <xdr:nvGraphicFramePr>
        <xdr:cNvPr id="23" name="Chart 22">
          <a:extLst>
            <a:ext uri="{FF2B5EF4-FFF2-40B4-BE49-F238E27FC236}">
              <a16:creationId xmlns:a16="http://schemas.microsoft.com/office/drawing/2014/main" id="{03F7C806-6C80-4557-91C9-82498B9F5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220133</xdr:colOff>
      <xdr:row>23</xdr:row>
      <xdr:rowOff>118536</xdr:rowOff>
    </xdr:from>
    <xdr:to>
      <xdr:col>6</xdr:col>
      <xdr:colOff>76200</xdr:colOff>
      <xdr:row>24</xdr:row>
      <xdr:rowOff>135467</xdr:rowOff>
    </xdr:to>
    <xdr:sp macro="" textlink="">
      <xdr:nvSpPr>
        <xdr:cNvPr id="24" name="TextBox 23">
          <a:extLst>
            <a:ext uri="{FF2B5EF4-FFF2-40B4-BE49-F238E27FC236}">
              <a16:creationId xmlns:a16="http://schemas.microsoft.com/office/drawing/2014/main" id="{B6F23744-1E65-8972-108F-5D297AC6FB02}"/>
            </a:ext>
          </a:extLst>
        </xdr:cNvPr>
        <xdr:cNvSpPr txBox="1"/>
      </xdr:nvSpPr>
      <xdr:spPr>
        <a:xfrm>
          <a:off x="2006600" y="4402669"/>
          <a:ext cx="1405467" cy="203198"/>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badi" panose="020B0604020104020204" pitchFamily="34" charset="0"/>
            </a:rPr>
            <a:t>2021</a:t>
          </a:r>
          <a:r>
            <a:rPr lang="en-US" sz="900"/>
            <a:t> </a:t>
          </a:r>
          <a:r>
            <a:rPr lang="en-US" sz="800">
              <a:latin typeface="Abadi" panose="020B0604020104020204" pitchFamily="34" charset="0"/>
            </a:rPr>
            <a:t>Revenue</a:t>
          </a:r>
          <a:r>
            <a:rPr lang="en-US" sz="900"/>
            <a:t>: $67.4B</a:t>
          </a:r>
        </a:p>
      </xdr:txBody>
    </xdr:sp>
    <xdr:clientData/>
  </xdr:twoCellAnchor>
  <xdr:twoCellAnchor>
    <xdr:from>
      <xdr:col>0</xdr:col>
      <xdr:colOff>0</xdr:colOff>
      <xdr:row>23</xdr:row>
      <xdr:rowOff>152400</xdr:rowOff>
    </xdr:from>
    <xdr:to>
      <xdr:col>2</xdr:col>
      <xdr:colOff>8466</xdr:colOff>
      <xdr:row>24</xdr:row>
      <xdr:rowOff>177800</xdr:rowOff>
    </xdr:to>
    <xdr:sp macro="" textlink="">
      <xdr:nvSpPr>
        <xdr:cNvPr id="25" name="TextBox 24">
          <a:extLst>
            <a:ext uri="{FF2B5EF4-FFF2-40B4-BE49-F238E27FC236}">
              <a16:creationId xmlns:a16="http://schemas.microsoft.com/office/drawing/2014/main" id="{0D371BB4-07B9-B0BB-58A5-FBADDE0E5839}"/>
            </a:ext>
          </a:extLst>
        </xdr:cNvPr>
        <xdr:cNvSpPr txBox="1"/>
      </xdr:nvSpPr>
      <xdr:spPr>
        <a:xfrm>
          <a:off x="0" y="4436533"/>
          <a:ext cx="1507066" cy="211667"/>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badi" panose="020B0604020104020204" pitchFamily="34" charset="0"/>
            </a:rPr>
            <a:t>2021 Revenue: $</a:t>
          </a:r>
          <a:r>
            <a:rPr lang="en-US" sz="900">
              <a:latin typeface="Abadi" panose="020B0604020104020204" pitchFamily="34" charset="0"/>
            </a:rPr>
            <a:t>29.7B</a:t>
          </a:r>
        </a:p>
      </xdr:txBody>
    </xdr:sp>
    <xdr:clientData/>
  </xdr:twoCellAnchor>
  <xdr:twoCellAnchor>
    <xdr:from>
      <xdr:col>4</xdr:col>
      <xdr:colOff>59267</xdr:colOff>
      <xdr:row>8</xdr:row>
      <xdr:rowOff>33868</xdr:rowOff>
    </xdr:from>
    <xdr:to>
      <xdr:col>4</xdr:col>
      <xdr:colOff>1159934</xdr:colOff>
      <xdr:row>10</xdr:row>
      <xdr:rowOff>93134</xdr:rowOff>
    </xdr:to>
    <xdr:sp macro="" textlink="KPIs_Qs!K3">
      <xdr:nvSpPr>
        <xdr:cNvPr id="28" name="TextBox 27">
          <a:extLst>
            <a:ext uri="{FF2B5EF4-FFF2-40B4-BE49-F238E27FC236}">
              <a16:creationId xmlns:a16="http://schemas.microsoft.com/office/drawing/2014/main" id="{256E4996-DA66-53C9-000A-793A259F2FCD}"/>
            </a:ext>
          </a:extLst>
        </xdr:cNvPr>
        <xdr:cNvSpPr txBox="1"/>
      </xdr:nvSpPr>
      <xdr:spPr>
        <a:xfrm>
          <a:off x="1845734" y="1524001"/>
          <a:ext cx="1100667" cy="431800"/>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DBADE7-9E45-4631-8703-805D3FD1939E}" type="TxLink">
            <a:rPr lang="en-US" sz="2800" b="0" i="0" u="none" strike="noStrike">
              <a:solidFill>
                <a:schemeClr val="bg1"/>
              </a:solidFill>
              <a:latin typeface="Calibri"/>
              <a:ea typeface="Calibri"/>
              <a:cs typeface="Calibri"/>
            </a:rPr>
            <a:pPr/>
            <a:t>9.11%</a:t>
          </a:fld>
          <a:endParaRPr lang="en-US" sz="28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BC5CF8-FF54-43C3-A86C-56B6D6F63BBE}">
  <we:reference id="wa200005502" version="1.0.0.12" store="en-US"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sheetPr>
  <dimension ref="A1:F35"/>
  <sheetViews>
    <sheetView zoomScale="80" zoomScaleNormal="80" workbookViewId="0">
      <selection activeCell="F3" sqref="F3"/>
    </sheetView>
  </sheetViews>
  <sheetFormatPr defaultRowHeight="14.4" x14ac:dyDescent="0.3"/>
  <cols>
    <col min="1" max="1" width="58.21875" customWidth="1"/>
    <col min="2" max="2" width="11.88671875" bestFit="1" customWidth="1"/>
    <col min="3" max="3" width="12.88671875" bestFit="1" customWidth="1"/>
    <col min="4" max="4" width="14.6640625" bestFit="1" customWidth="1"/>
    <col min="5" max="5" width="11.88671875" bestFit="1" customWidth="1"/>
    <col min="6" max="6" width="11.5546875" bestFit="1" customWidth="1"/>
  </cols>
  <sheetData>
    <row r="1" spans="1:6" ht="15.6" x14ac:dyDescent="0.3">
      <c r="A1" s="94" t="s">
        <v>49</v>
      </c>
      <c r="B1" s="95"/>
      <c r="C1" s="95"/>
      <c r="D1" s="95"/>
      <c r="E1" s="95"/>
      <c r="F1" s="96"/>
    </row>
    <row r="2" spans="1:6" s="8" customFormat="1" ht="16.2" customHeight="1" x14ac:dyDescent="0.3">
      <c r="A2" s="9" t="s">
        <v>0</v>
      </c>
      <c r="B2" s="8" t="s">
        <v>1</v>
      </c>
      <c r="C2" s="8" t="s">
        <v>2</v>
      </c>
      <c r="D2" s="8" t="s">
        <v>3</v>
      </c>
      <c r="E2" s="8" t="s">
        <v>4</v>
      </c>
      <c r="F2" s="8" t="s">
        <v>5</v>
      </c>
    </row>
    <row r="3" spans="1:6" ht="16.2" customHeight="1" x14ac:dyDescent="0.3">
      <c r="A3" s="23" t="s">
        <v>6</v>
      </c>
      <c r="B3" s="2">
        <v>45183.040000000001</v>
      </c>
      <c r="C3" s="2">
        <v>39000.959999999999</v>
      </c>
      <c r="D3" s="2">
        <v>33723.300000000003</v>
      </c>
      <c r="E3" s="2">
        <v>31615.55</v>
      </c>
      <c r="F3" s="2">
        <v>29697.84</v>
      </c>
    </row>
    <row r="4" spans="1:6" ht="16.2" customHeight="1" thickBot="1" x14ac:dyDescent="0.35">
      <c r="A4" s="24" t="s">
        <v>7</v>
      </c>
      <c r="B4" s="21">
        <v>23275.33</v>
      </c>
      <c r="C4" s="21">
        <v>21038.46</v>
      </c>
      <c r="D4" s="21">
        <v>19715.37</v>
      </c>
      <c r="E4" s="21">
        <v>19168.29</v>
      </c>
      <c r="F4" s="21">
        <v>17332.68</v>
      </c>
    </row>
    <row r="5" spans="1:6" ht="16.2" customHeight="1" x14ac:dyDescent="0.3">
      <c r="A5" s="23" t="s">
        <v>8</v>
      </c>
      <c r="B5" s="2">
        <f>B3-B4</f>
        <v>21907.71</v>
      </c>
      <c r="C5" s="2">
        <v>17962.5</v>
      </c>
      <c r="D5" s="2">
        <v>14007.93</v>
      </c>
      <c r="E5" s="2">
        <v>12447.27</v>
      </c>
      <c r="F5" s="2">
        <v>12365.16</v>
      </c>
    </row>
    <row r="6" spans="1:6" ht="16.2" customHeight="1" x14ac:dyDescent="0.3">
      <c r="A6" t="s">
        <v>14</v>
      </c>
      <c r="B6" s="3">
        <v>3391.39</v>
      </c>
      <c r="C6" s="3">
        <v>2925.2950000000001</v>
      </c>
      <c r="D6" s="3">
        <v>2675.7579999999998</v>
      </c>
      <c r="E6" s="3">
        <v>2711.0410000000002</v>
      </c>
      <c r="F6" s="3">
        <v>2273.8850000000002</v>
      </c>
    </row>
    <row r="7" spans="1:6" ht="16.2" customHeight="1" thickBot="1" x14ac:dyDescent="0.35">
      <c r="A7" t="s">
        <v>15</v>
      </c>
      <c r="B7" s="21">
        <v>5189.7139999999999</v>
      </c>
      <c r="C7" s="21">
        <v>4619.5929999999998</v>
      </c>
      <c r="D7" s="21">
        <v>4378.1679999999997</v>
      </c>
      <c r="E7" s="21">
        <v>4103.393</v>
      </c>
      <c r="F7" s="21">
        <v>3896.7669999999998</v>
      </c>
    </row>
    <row r="8" spans="1:6" ht="16.2" customHeight="1" x14ac:dyDescent="0.3">
      <c r="A8" s="25" t="s">
        <v>16</v>
      </c>
      <c r="B8" s="3">
        <f>B6+B7</f>
        <v>8581.1039999999994</v>
      </c>
      <c r="C8" s="3">
        <f>C6+C7</f>
        <v>7544.8879999999999</v>
      </c>
      <c r="D8" s="3">
        <f>D6+D7</f>
        <v>7053.9259999999995</v>
      </c>
      <c r="E8" s="3">
        <f>E6+E7</f>
        <v>6814.4340000000002</v>
      </c>
      <c r="F8" s="3">
        <f>F6+F7</f>
        <v>6170.652</v>
      </c>
    </row>
    <row r="9" spans="1:6" ht="16.2" customHeight="1" thickBot="1" x14ac:dyDescent="0.35">
      <c r="A9" s="23" t="s">
        <v>9</v>
      </c>
      <c r="B9" s="2">
        <f>B5-B8</f>
        <v>13326.606</v>
      </c>
      <c r="C9" s="2">
        <f>C5-C8</f>
        <v>10417.612000000001</v>
      </c>
      <c r="D9" s="2">
        <f>D5-D8</f>
        <v>6954.0040000000008</v>
      </c>
      <c r="E9" s="2">
        <f>E5-E8</f>
        <v>5632.8360000000002</v>
      </c>
      <c r="F9" s="2">
        <f>F5-F8</f>
        <v>6194.5079999999998</v>
      </c>
    </row>
    <row r="10" spans="1:6" ht="16.2" customHeight="1" x14ac:dyDescent="0.3">
      <c r="A10" s="25" t="s">
        <v>10</v>
      </c>
      <c r="B10" s="3">
        <v>-604.05100000000004</v>
      </c>
      <c r="C10" s="3">
        <v>-451.95699999999999</v>
      </c>
      <c r="D10" s="3">
        <v>-748.59799999999996</v>
      </c>
      <c r="E10" s="3">
        <v>-368.90199999999999</v>
      </c>
      <c r="F10" s="3">
        <v>-354.40600000000001</v>
      </c>
    </row>
    <row r="11" spans="1:6" ht="16.2" customHeight="1" thickBot="1" x14ac:dyDescent="0.35">
      <c r="A11" s="26" t="s">
        <v>11</v>
      </c>
      <c r="B11" s="2">
        <f>B9+B10</f>
        <v>12722.555</v>
      </c>
      <c r="C11" s="2">
        <f>C9+C10</f>
        <v>9965.6550000000007</v>
      </c>
      <c r="D11" s="2">
        <f>D9+D10</f>
        <v>6205.4060000000009</v>
      </c>
      <c r="E11" s="2">
        <f>E9+E10</f>
        <v>5263.9340000000002</v>
      </c>
      <c r="F11" s="2">
        <f>F9+F10</f>
        <v>5840.1019999999999</v>
      </c>
    </row>
    <row r="12" spans="1:6" ht="16.2" customHeight="1" thickBot="1" x14ac:dyDescent="0.35">
      <c r="A12" s="24" t="s">
        <v>12</v>
      </c>
      <c r="B12" s="21">
        <v>1741.3510000000001</v>
      </c>
      <c r="C12" s="21">
        <v>1254.0260000000001</v>
      </c>
      <c r="D12" s="21">
        <v>797.41499999999996</v>
      </c>
      <c r="E12" s="21">
        <v>772.005</v>
      </c>
      <c r="F12" s="21">
        <v>723.875</v>
      </c>
    </row>
    <row r="13" spans="1:6" ht="16.2" customHeight="1" thickBot="1" x14ac:dyDescent="0.35">
      <c r="A13" s="27" t="s">
        <v>13</v>
      </c>
      <c r="B13" s="22">
        <f>B11-B12</f>
        <v>10981.204</v>
      </c>
      <c r="C13" s="22">
        <f>C11-C12</f>
        <v>8711.6290000000008</v>
      </c>
      <c r="D13" s="22">
        <f>D11-D12</f>
        <v>5407.9910000000009</v>
      </c>
      <c r="E13" s="22">
        <f>E11-E12</f>
        <v>4491.9290000000001</v>
      </c>
      <c r="F13" s="22">
        <f>F11-F12</f>
        <v>5116.2269999999999</v>
      </c>
    </row>
    <row r="14" spans="1:6" ht="16.2" customHeight="1" thickBot="1" x14ac:dyDescent="0.35"/>
    <row r="15" spans="1:6" ht="16.2" customHeight="1" thickBot="1" x14ac:dyDescent="0.35">
      <c r="A15" s="97" t="s">
        <v>50</v>
      </c>
      <c r="B15" s="98"/>
      <c r="C15" s="98"/>
      <c r="D15" s="98"/>
      <c r="E15" s="98"/>
      <c r="F15" s="99"/>
    </row>
    <row r="16" spans="1:6" ht="16.2" customHeight="1" x14ac:dyDescent="0.3">
      <c r="A16" s="5" t="s">
        <v>17</v>
      </c>
      <c r="B16" s="7">
        <v>10981.2</v>
      </c>
      <c r="C16" s="7">
        <v>8711.6309999999994</v>
      </c>
      <c r="D16" s="7">
        <v>5407.99</v>
      </c>
      <c r="E16" s="7">
        <v>4491.924</v>
      </c>
      <c r="F16" s="7">
        <v>5116.2280000000001</v>
      </c>
    </row>
    <row r="17" spans="1:6" ht="16.2" customHeight="1" x14ac:dyDescent="0.3">
      <c r="A17" s="4" t="s">
        <v>18</v>
      </c>
      <c r="B17" s="6">
        <v>16755.55</v>
      </c>
      <c r="C17" s="6">
        <v>15630.43</v>
      </c>
      <c r="D17" s="6">
        <v>14554.38</v>
      </c>
      <c r="E17" s="6">
        <v>14362.81</v>
      </c>
      <c r="F17" s="6">
        <v>12438.78</v>
      </c>
    </row>
    <row r="18" spans="1:6" ht="16.2" customHeight="1" thickBot="1" x14ac:dyDescent="0.35">
      <c r="A18" s="4" t="s">
        <v>19</v>
      </c>
      <c r="B18" s="6">
        <v>-17131.259999999998</v>
      </c>
      <c r="C18" s="6">
        <v>-16947.62</v>
      </c>
      <c r="D18" s="6">
        <v>-12571.93</v>
      </c>
      <c r="E18" s="6">
        <v>-16070.39</v>
      </c>
      <c r="F18" s="6">
        <v>-16920.419999999998</v>
      </c>
    </row>
    <row r="19" spans="1:6" ht="16.2" customHeight="1" x14ac:dyDescent="0.3">
      <c r="A19" s="20" t="s">
        <v>20</v>
      </c>
      <c r="B19" s="6">
        <v>-375.709</v>
      </c>
      <c r="C19" s="6">
        <v>-1317.193</v>
      </c>
      <c r="D19" s="6">
        <v>1982.4580000000001</v>
      </c>
      <c r="E19" s="6">
        <v>-1707.579</v>
      </c>
      <c r="F19" s="6">
        <v>-4481.6409999999996</v>
      </c>
    </row>
    <row r="20" spans="1:6" ht="16.2" customHeight="1" x14ac:dyDescent="0.3">
      <c r="A20" s="4" t="s">
        <v>21</v>
      </c>
      <c r="B20" s="6">
        <v>-8.0389999999999997</v>
      </c>
      <c r="C20" s="6">
        <v>121.35299999999999</v>
      </c>
      <c r="D20" s="6">
        <v>93.501999999999995</v>
      </c>
      <c r="E20" s="6">
        <v>-158.54300000000001</v>
      </c>
      <c r="F20" s="6">
        <v>145.11500000000001</v>
      </c>
    </row>
    <row r="21" spans="1:6" ht="16.2" customHeight="1" thickBot="1" x14ac:dyDescent="0.35">
      <c r="A21" s="4" t="s">
        <v>22</v>
      </c>
      <c r="B21" s="6">
        <v>-1329.3989999999999</v>
      </c>
      <c r="C21" s="6">
        <v>-346.327</v>
      </c>
      <c r="D21" s="6">
        <v>-313.21499999999997</v>
      </c>
      <c r="E21" s="6">
        <v>-544.03099999999995</v>
      </c>
      <c r="F21" s="6">
        <v>-567.42999999999995</v>
      </c>
    </row>
    <row r="22" spans="1:6" ht="16.2" customHeight="1" thickBot="1" x14ac:dyDescent="0.35">
      <c r="A22" s="14" t="s">
        <v>23</v>
      </c>
      <c r="B22" s="13">
        <v>-456.22</v>
      </c>
      <c r="C22" s="13">
        <v>-33.075000000000003</v>
      </c>
      <c r="D22" s="13">
        <v>-116.148</v>
      </c>
      <c r="E22" s="13">
        <v>-758.08699999999999</v>
      </c>
      <c r="F22" s="13">
        <v>-241.977</v>
      </c>
    </row>
    <row r="23" spans="1:6" ht="16.2" customHeight="1" x14ac:dyDescent="0.3">
      <c r="A23" s="5" t="s">
        <v>24</v>
      </c>
      <c r="B23" s="7">
        <f>B16+B19+B22</f>
        <v>10149.271000000001</v>
      </c>
      <c r="C23" s="7">
        <f>C16+C19+C22</f>
        <v>7361.3629999999994</v>
      </c>
      <c r="D23" s="7">
        <f>D16+D19+D22</f>
        <v>7274.3</v>
      </c>
      <c r="E23" s="7">
        <f>E16+E19+E22</f>
        <v>2026.2580000000003</v>
      </c>
      <c r="F23" s="7">
        <f>F16+F19+F22</f>
        <v>392.61000000000047</v>
      </c>
    </row>
    <row r="24" spans="1:6" ht="16.2" customHeight="1" x14ac:dyDescent="0.3">
      <c r="A24" s="4" t="s">
        <v>25</v>
      </c>
      <c r="B24" s="6">
        <v>-688.22</v>
      </c>
      <c r="C24" s="6">
        <v>-439.53800000000001</v>
      </c>
      <c r="D24" s="6">
        <v>-348.55200000000002</v>
      </c>
      <c r="E24" s="6">
        <v>-407.72899999999998</v>
      </c>
      <c r="F24" s="6">
        <v>-524.58500000000004</v>
      </c>
    </row>
    <row r="25" spans="1:6" ht="16.2" customHeight="1" x14ac:dyDescent="0.3">
      <c r="A25" s="4" t="s">
        <v>26</v>
      </c>
      <c r="B25" s="6">
        <v>-17.193999999999999</v>
      </c>
      <c r="C25" s="6">
        <v>0</v>
      </c>
      <c r="D25" s="6">
        <v>0</v>
      </c>
      <c r="E25" s="6">
        <v>-757.38699999999994</v>
      </c>
      <c r="F25" s="6">
        <v>-788.34900000000005</v>
      </c>
    </row>
    <row r="26" spans="1:6" ht="16.2" customHeight="1" thickBot="1" x14ac:dyDescent="0.35">
      <c r="A26" s="4" t="s">
        <v>28</v>
      </c>
      <c r="B26" s="6">
        <v>1747.1020000000001</v>
      </c>
      <c r="C26" s="6">
        <v>-1742.2460000000001</v>
      </c>
      <c r="D26" s="6">
        <v>890.303</v>
      </c>
      <c r="E26" s="6">
        <v>-911.27599999999995</v>
      </c>
      <c r="F26" s="6">
        <v>0</v>
      </c>
    </row>
    <row r="27" spans="1:6" ht="16.2" customHeight="1" thickBot="1" x14ac:dyDescent="0.35">
      <c r="A27" s="14" t="s">
        <v>29</v>
      </c>
      <c r="B27" s="13">
        <v>1747.1020000000001</v>
      </c>
      <c r="C27" s="13">
        <v>-1742.2460000000001</v>
      </c>
      <c r="D27" s="13">
        <v>890.303</v>
      </c>
      <c r="E27" s="13">
        <v>-911.27599999999995</v>
      </c>
      <c r="F27" s="13">
        <v>0</v>
      </c>
    </row>
    <row r="28" spans="1:6" ht="16.2" customHeight="1" x14ac:dyDescent="0.3">
      <c r="A28" s="5" t="s">
        <v>30</v>
      </c>
      <c r="B28" s="7">
        <f>B24+B25+B26</f>
        <v>1041.6880000000001</v>
      </c>
      <c r="C28" s="7">
        <f>C24+C25+C26</f>
        <v>-2181.7840000000001</v>
      </c>
      <c r="D28" s="7">
        <f>D24+D25+D26</f>
        <v>541.75099999999998</v>
      </c>
      <c r="E28" s="7">
        <f>E24+E25+E26</f>
        <v>-2076.3919999999998</v>
      </c>
      <c r="F28" s="7">
        <v>-1339.8530000000001</v>
      </c>
    </row>
    <row r="29" spans="1:6" ht="16.2" customHeight="1" thickBot="1" x14ac:dyDescent="0.35">
      <c r="A29" s="4" t="s">
        <v>31</v>
      </c>
      <c r="B29" s="6">
        <v>-1833.45</v>
      </c>
      <c r="C29" s="6">
        <v>1394.46</v>
      </c>
      <c r="D29" s="6" t="s">
        <v>27</v>
      </c>
      <c r="E29" s="6">
        <v>-700</v>
      </c>
      <c r="F29" s="6">
        <v>-500</v>
      </c>
    </row>
    <row r="30" spans="1:6" ht="16.2" customHeight="1" thickBot="1" x14ac:dyDescent="0.35">
      <c r="A30" s="19" t="s">
        <v>32</v>
      </c>
      <c r="B30" s="6">
        <v>-8460.2019999999993</v>
      </c>
      <c r="C30" s="6">
        <v>-5430.8590000000004</v>
      </c>
      <c r="D30" s="6">
        <v>-5875.357</v>
      </c>
      <c r="E30" s="6">
        <v>35.746000000000002</v>
      </c>
      <c r="F30" s="6">
        <v>-425.608</v>
      </c>
    </row>
    <row r="31" spans="1:6" ht="16.2" customHeight="1" thickBot="1" x14ac:dyDescent="0.35">
      <c r="A31" s="14" t="s">
        <v>33</v>
      </c>
      <c r="B31" s="18">
        <v>-10345.620000000001</v>
      </c>
      <c r="C31" s="18">
        <v>-4074.4270000000001</v>
      </c>
      <c r="D31" s="18">
        <v>-5950.8029999999999</v>
      </c>
      <c r="E31" s="18">
        <v>-664.25400000000002</v>
      </c>
      <c r="F31" s="18">
        <v>-1149.7760000000001</v>
      </c>
    </row>
    <row r="32" spans="1:6" ht="16.2" customHeight="1" x14ac:dyDescent="0.3">
      <c r="A32" t="s">
        <v>55</v>
      </c>
      <c r="B32" s="35">
        <v>386.52</v>
      </c>
      <c r="C32">
        <v>-416.33</v>
      </c>
      <c r="D32">
        <v>82.68</v>
      </c>
      <c r="E32" s="4">
        <v>-170.14</v>
      </c>
      <c r="F32" s="35">
        <v>-86.74</v>
      </c>
    </row>
    <row r="33" spans="1:6" ht="16.2" customHeight="1" x14ac:dyDescent="0.3">
      <c r="A33" s="5" t="s">
        <v>53</v>
      </c>
      <c r="B33" s="36">
        <v>1231.8599999999999</v>
      </c>
      <c r="C33">
        <v>272.49</v>
      </c>
      <c r="D33" s="31">
        <v>2030.61</v>
      </c>
      <c r="E33" s="31">
        <v>-1054.67</v>
      </c>
      <c r="F33" s="36">
        <v>-2183.7600000000002</v>
      </c>
    </row>
    <row r="34" spans="1:6" ht="16.2" customHeight="1" thickBot="1" x14ac:dyDescent="0.35">
      <c r="A34" s="23" t="s">
        <v>54</v>
      </c>
      <c r="B34" s="32">
        <v>7807.34</v>
      </c>
      <c r="C34" s="32">
        <v>7118.52</v>
      </c>
      <c r="D34" s="32">
        <v>5170.58</v>
      </c>
      <c r="E34" s="32">
        <v>6055.11</v>
      </c>
      <c r="F34" s="32">
        <v>8238.8700000000008</v>
      </c>
    </row>
    <row r="35" spans="1:6" ht="15" thickBot="1" x14ac:dyDescent="0.35">
      <c r="A35" s="30" t="s">
        <v>56</v>
      </c>
      <c r="B35" s="33">
        <v>9425.7199999999993</v>
      </c>
      <c r="C35" s="33">
        <v>7391.01</v>
      </c>
      <c r="D35" s="33">
        <v>7201.19</v>
      </c>
      <c r="E35" s="34">
        <v>5000.4399999999996</v>
      </c>
      <c r="F35" s="33">
        <v>6055.11</v>
      </c>
    </row>
  </sheetData>
  <mergeCells count="2">
    <mergeCell ref="A1:F1"/>
    <mergeCell ref="A15:F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79411-9887-4D10-80EA-01A9D96E9386}">
  <sheetPr>
    <tabColor theme="3" tint="0.79998168889431442"/>
  </sheetPr>
  <dimension ref="A1:K41"/>
  <sheetViews>
    <sheetView zoomScaleNormal="100" workbookViewId="0">
      <selection activeCell="F3" sqref="F3"/>
    </sheetView>
  </sheetViews>
  <sheetFormatPr defaultRowHeight="14.4" x14ac:dyDescent="0.3"/>
  <cols>
    <col min="1" max="1" width="82.33203125" customWidth="1"/>
    <col min="2" max="3" width="11.88671875" bestFit="1" customWidth="1"/>
    <col min="4" max="6" width="11" bestFit="1" customWidth="1"/>
    <col min="8" max="8" width="10.109375" bestFit="1" customWidth="1"/>
    <col min="11" max="11" width="11.6640625" bestFit="1" customWidth="1"/>
  </cols>
  <sheetData>
    <row r="1" spans="1:11" ht="15.6" x14ac:dyDescent="0.3">
      <c r="A1" s="94" t="s">
        <v>49</v>
      </c>
      <c r="B1" s="95"/>
      <c r="C1" s="95"/>
      <c r="D1" s="95"/>
      <c r="E1" s="95"/>
      <c r="F1" s="96"/>
    </row>
    <row r="2" spans="1:11" ht="21" customHeight="1" x14ac:dyDescent="0.3">
      <c r="A2" s="9" t="s">
        <v>0</v>
      </c>
      <c r="B2" s="1" t="s">
        <v>1</v>
      </c>
      <c r="C2" s="1" t="s">
        <v>2</v>
      </c>
      <c r="D2" s="1" t="s">
        <v>3</v>
      </c>
      <c r="E2" s="1" t="s">
        <v>4</v>
      </c>
      <c r="F2" s="1" t="s">
        <v>5</v>
      </c>
    </row>
    <row r="3" spans="1:11" x14ac:dyDescent="0.3">
      <c r="A3" s="5" t="s">
        <v>6</v>
      </c>
      <c r="B3" s="7">
        <v>94425</v>
      </c>
      <c r="C3" s="7">
        <v>91361</v>
      </c>
      <c r="D3" s="7">
        <v>88898</v>
      </c>
      <c r="E3" s="7">
        <v>82722</v>
      </c>
      <c r="F3" s="7">
        <v>67418</v>
      </c>
    </row>
    <row r="4" spans="1:11" ht="15" thickBot="1" x14ac:dyDescent="0.35">
      <c r="A4" s="12" t="s">
        <v>34</v>
      </c>
      <c r="B4" s="13">
        <v>58766</v>
      </c>
      <c r="C4" s="13">
        <v>58698</v>
      </c>
      <c r="D4" s="13">
        <v>59201</v>
      </c>
      <c r="E4" s="13">
        <v>54401</v>
      </c>
      <c r="F4" s="13">
        <v>45131</v>
      </c>
    </row>
    <row r="5" spans="1:11" x14ac:dyDescent="0.3">
      <c r="A5" s="5" t="s">
        <v>8</v>
      </c>
      <c r="B5" s="17">
        <f>B3-B4</f>
        <v>35659</v>
      </c>
      <c r="C5" s="17">
        <f>C3-C4</f>
        <v>32663</v>
      </c>
      <c r="D5" s="17">
        <f>D3-D4</f>
        <v>29697</v>
      </c>
      <c r="E5" s="17">
        <f>E3-E4</f>
        <v>28321</v>
      </c>
      <c r="F5" s="17">
        <f>F3-F4</f>
        <v>22287</v>
      </c>
    </row>
    <row r="6" spans="1:11" x14ac:dyDescent="0.3">
      <c r="A6" s="4" t="s">
        <v>35</v>
      </c>
      <c r="B6" s="6" t="s">
        <v>27</v>
      </c>
      <c r="C6" s="6" t="s">
        <v>27</v>
      </c>
      <c r="D6" s="6" t="s">
        <v>27</v>
      </c>
      <c r="E6" s="6" t="s">
        <v>27</v>
      </c>
      <c r="F6" s="6" t="s">
        <v>27</v>
      </c>
    </row>
    <row r="7" spans="1:11" x14ac:dyDescent="0.3">
      <c r="A7" s="4" t="s">
        <v>36</v>
      </c>
      <c r="B7" s="6">
        <v>16501</v>
      </c>
      <c r="C7" s="6">
        <v>15759</v>
      </c>
      <c r="D7" s="6">
        <v>15336</v>
      </c>
      <c r="E7" s="6">
        <v>16388</v>
      </c>
      <c r="F7" s="6">
        <v>13517</v>
      </c>
    </row>
    <row r="8" spans="1:11" ht="15" thickBot="1" x14ac:dyDescent="0.35">
      <c r="A8" s="4" t="s">
        <v>37</v>
      </c>
      <c r="B8" s="13" t="s">
        <v>27</v>
      </c>
      <c r="C8" s="13" t="s">
        <v>27</v>
      </c>
      <c r="D8" s="13" t="s">
        <v>27</v>
      </c>
      <c r="E8" s="13" t="s">
        <v>27</v>
      </c>
      <c r="F8" s="13" t="s">
        <v>27</v>
      </c>
      <c r="H8" s="28"/>
    </row>
    <row r="9" spans="1:11" ht="15" thickBot="1" x14ac:dyDescent="0.35">
      <c r="A9" s="14" t="s">
        <v>38</v>
      </c>
      <c r="B9" s="6">
        <v>22646</v>
      </c>
      <c r="C9" s="6">
        <v>24344</v>
      </c>
      <c r="D9" s="6">
        <v>24597</v>
      </c>
      <c r="E9" s="6">
        <v>21788</v>
      </c>
      <c r="F9" s="6">
        <v>19282</v>
      </c>
    </row>
    <row r="10" spans="1:11" x14ac:dyDescent="0.3">
      <c r="A10" s="5" t="s">
        <v>9</v>
      </c>
      <c r="B10" s="17">
        <f>B5-B9</f>
        <v>13013</v>
      </c>
      <c r="C10" s="17">
        <f>C5-C9</f>
        <v>8319</v>
      </c>
      <c r="D10" s="17">
        <f>D5-D9</f>
        <v>5100</v>
      </c>
      <c r="E10" s="17">
        <f>E5-E9</f>
        <v>6533</v>
      </c>
      <c r="F10" s="17">
        <f>F5-F9</f>
        <v>3005</v>
      </c>
      <c r="K10" s="28"/>
    </row>
    <row r="11" spans="1:11" ht="15" thickBot="1" x14ac:dyDescent="0.35">
      <c r="A11" s="12" t="s">
        <v>39</v>
      </c>
      <c r="B11" s="13">
        <v>-1010</v>
      </c>
      <c r="C11" s="13">
        <v>-750</v>
      </c>
      <c r="D11" s="13">
        <v>-331</v>
      </c>
      <c r="E11" s="13">
        <v>-1248</v>
      </c>
      <c r="F11" s="13">
        <v>-444</v>
      </c>
    </row>
    <row r="12" spans="1:11" x14ac:dyDescent="0.3">
      <c r="A12" s="5" t="s">
        <v>11</v>
      </c>
      <c r="B12" s="7">
        <f>B10+B11</f>
        <v>12003</v>
      </c>
      <c r="C12" s="7">
        <f>C10+C11</f>
        <v>7569</v>
      </c>
      <c r="D12" s="7">
        <f>D10+D11</f>
        <v>4769</v>
      </c>
      <c r="E12" s="7">
        <f>E10+E11</f>
        <v>5285</v>
      </c>
      <c r="F12" s="7">
        <f>F10+F11</f>
        <v>2561</v>
      </c>
    </row>
    <row r="13" spans="1:11" ht="15" thickBot="1" x14ac:dyDescent="0.35">
      <c r="A13" s="4" t="s">
        <v>51</v>
      </c>
      <c r="B13" s="6">
        <v>-1428</v>
      </c>
      <c r="C13" s="6">
        <v>1796</v>
      </c>
      <c r="D13" s="6">
        <v>1379</v>
      </c>
      <c r="E13" s="6">
        <v>1732</v>
      </c>
      <c r="F13" s="6">
        <v>25</v>
      </c>
    </row>
    <row r="14" spans="1:11" x14ac:dyDescent="0.3">
      <c r="A14" s="20" t="s">
        <v>40</v>
      </c>
      <c r="B14" s="6">
        <f>B12-B13</f>
        <v>13431</v>
      </c>
      <c r="C14" s="6">
        <f>C12-C13</f>
        <v>5773</v>
      </c>
      <c r="D14" s="6">
        <f>D12-D13</f>
        <v>3390</v>
      </c>
      <c r="E14" s="6">
        <f>E12-E13</f>
        <v>3553</v>
      </c>
      <c r="F14" s="6">
        <f>F12-F13</f>
        <v>2536</v>
      </c>
    </row>
    <row r="15" spans="1:11" ht="28.2" customHeight="1" thickBot="1" x14ac:dyDescent="0.35">
      <c r="A15" s="4" t="s">
        <v>52</v>
      </c>
      <c r="B15" s="6">
        <v>-1027</v>
      </c>
      <c r="C15" s="6">
        <v>-801</v>
      </c>
      <c r="D15" s="6">
        <v>-1036</v>
      </c>
      <c r="E15" s="6">
        <v>-408</v>
      </c>
      <c r="F15" s="6">
        <v>541</v>
      </c>
    </row>
    <row r="16" spans="1:11" ht="15" thickBot="1" x14ac:dyDescent="0.35">
      <c r="A16" s="10" t="s">
        <v>13</v>
      </c>
      <c r="B16" s="15">
        <f>B14+B15</f>
        <v>12404</v>
      </c>
      <c r="C16" s="15">
        <f>C14+C15</f>
        <v>4972</v>
      </c>
      <c r="D16" s="15">
        <f>D14+D15</f>
        <v>2354</v>
      </c>
      <c r="E16" s="15">
        <f>E14+E15</f>
        <v>3145</v>
      </c>
      <c r="F16" s="15">
        <v>1995</v>
      </c>
    </row>
    <row r="17" spans="1:6" ht="15" thickBot="1" x14ac:dyDescent="0.35"/>
    <row r="18" spans="1:6" ht="16.2" thickBot="1" x14ac:dyDescent="0.35">
      <c r="A18" s="97" t="s">
        <v>50</v>
      </c>
      <c r="B18" s="98"/>
      <c r="C18" s="98"/>
      <c r="D18" s="98"/>
      <c r="E18" s="98"/>
      <c r="F18" s="99"/>
    </row>
    <row r="19" spans="1:6" x14ac:dyDescent="0.3">
      <c r="A19" s="5" t="s">
        <v>17</v>
      </c>
      <c r="B19" s="7">
        <v>13431</v>
      </c>
      <c r="C19" s="7">
        <v>5773</v>
      </c>
      <c r="D19" s="7">
        <v>3390</v>
      </c>
      <c r="E19" s="7">
        <v>3553</v>
      </c>
      <c r="F19" s="7">
        <v>2536</v>
      </c>
    </row>
    <row r="20" spans="1:6" x14ac:dyDescent="0.3">
      <c r="A20" s="4" t="s">
        <v>18</v>
      </c>
      <c r="B20" s="6">
        <v>6197</v>
      </c>
      <c r="C20" s="6">
        <v>8501</v>
      </c>
      <c r="D20" s="6">
        <v>8497</v>
      </c>
      <c r="E20" s="6">
        <v>5375</v>
      </c>
      <c r="F20" s="6">
        <v>5111</v>
      </c>
    </row>
    <row r="21" spans="1:6" ht="15" thickBot="1" x14ac:dyDescent="0.35">
      <c r="A21" s="12" t="s">
        <v>19</v>
      </c>
      <c r="B21" s="11">
        <v>-1097</v>
      </c>
      <c r="C21" s="11">
        <v>1310</v>
      </c>
      <c r="D21" s="11">
        <v>-2198</v>
      </c>
      <c r="E21" s="11">
        <v>-3414</v>
      </c>
      <c r="F21" s="11">
        <v>-4275</v>
      </c>
    </row>
    <row r="22" spans="1:6" x14ac:dyDescent="0.3">
      <c r="A22" s="5" t="s">
        <v>20</v>
      </c>
      <c r="B22" s="11">
        <f>B20+B21</f>
        <v>5100</v>
      </c>
      <c r="C22" s="11">
        <f>C20+C21</f>
        <v>9811</v>
      </c>
      <c r="D22" s="6">
        <f>D20+D21</f>
        <v>6299</v>
      </c>
      <c r="E22" s="6">
        <f>E20+E21</f>
        <v>1961</v>
      </c>
      <c r="F22" s="11">
        <f>F20+F21</f>
        <v>836</v>
      </c>
    </row>
    <row r="23" spans="1:6" x14ac:dyDescent="0.3">
      <c r="A23" s="4" t="s">
        <v>41</v>
      </c>
      <c r="B23" s="6">
        <v>-283</v>
      </c>
      <c r="C23" s="6">
        <v>-565</v>
      </c>
      <c r="D23" s="6">
        <v>358</v>
      </c>
      <c r="E23" s="6">
        <v>605</v>
      </c>
      <c r="F23" s="6">
        <v>-357</v>
      </c>
    </row>
    <row r="24" spans="1:6" x14ac:dyDescent="0.3">
      <c r="A24" s="4" t="s">
        <v>42</v>
      </c>
      <c r="B24" s="6">
        <v>-114</v>
      </c>
      <c r="C24" s="6">
        <v>-42</v>
      </c>
      <c r="D24" s="6">
        <v>-183</v>
      </c>
      <c r="E24" s="6">
        <v>-420</v>
      </c>
      <c r="F24" s="6">
        <v>252</v>
      </c>
    </row>
    <row r="25" spans="1:6" ht="15" thickBot="1" x14ac:dyDescent="0.35">
      <c r="A25" s="12" t="s">
        <v>22</v>
      </c>
      <c r="B25" s="6">
        <v>-42</v>
      </c>
      <c r="C25" s="6">
        <v>265</v>
      </c>
      <c r="D25" s="6">
        <v>-201</v>
      </c>
      <c r="E25" s="6">
        <v>-707</v>
      </c>
      <c r="F25" s="6">
        <v>171</v>
      </c>
    </row>
    <row r="26" spans="1:6" ht="15" thickBot="1" x14ac:dyDescent="0.35">
      <c r="A26" s="16" t="s">
        <v>23</v>
      </c>
      <c r="B26" s="13">
        <v>-430</v>
      </c>
      <c r="C26" s="13">
        <v>-1613</v>
      </c>
      <c r="D26" s="13">
        <v>177</v>
      </c>
      <c r="E26" s="13">
        <v>488</v>
      </c>
      <c r="F26" s="13">
        <v>2194</v>
      </c>
    </row>
    <row r="27" spans="1:6" x14ac:dyDescent="0.3">
      <c r="A27" s="5" t="s">
        <v>24</v>
      </c>
      <c r="B27" s="7">
        <f>B19+B22+B26</f>
        <v>18101</v>
      </c>
      <c r="C27" s="7">
        <f>C19+C22+C26</f>
        <v>13971</v>
      </c>
      <c r="D27" s="7">
        <f>D19+D22+D26</f>
        <v>9866</v>
      </c>
      <c r="E27" s="7">
        <f>E19+E22+E26</f>
        <v>6002</v>
      </c>
      <c r="F27" s="7">
        <f>F19+F22+F26</f>
        <v>5566</v>
      </c>
    </row>
    <row r="28" spans="1:6" x14ac:dyDescent="0.3">
      <c r="A28" s="4" t="s">
        <v>43</v>
      </c>
      <c r="B28" s="6">
        <v>-8024</v>
      </c>
      <c r="C28" s="6">
        <v>-5412</v>
      </c>
      <c r="D28" s="6">
        <v>-4969</v>
      </c>
      <c r="E28" s="6">
        <v>-4943</v>
      </c>
      <c r="F28" s="6">
        <v>-3578</v>
      </c>
    </row>
    <row r="29" spans="1:6" ht="15" thickBot="1" x14ac:dyDescent="0.35">
      <c r="A29" s="12" t="s">
        <v>44</v>
      </c>
      <c r="B29" s="6">
        <v>-94</v>
      </c>
      <c r="C29" s="6">
        <v>-1401</v>
      </c>
      <c r="D29" s="6">
        <v>458</v>
      </c>
      <c r="E29" s="6">
        <v>52</v>
      </c>
      <c r="F29" s="6">
        <v>337</v>
      </c>
    </row>
    <row r="30" spans="1:6" ht="15" thickBot="1" x14ac:dyDescent="0.35">
      <c r="A30" s="12" t="s">
        <v>45</v>
      </c>
      <c r="B30" s="13">
        <v>75</v>
      </c>
      <c r="C30" s="13">
        <v>-68</v>
      </c>
      <c r="D30" s="13">
        <v>-130</v>
      </c>
      <c r="E30" s="13">
        <v>-117</v>
      </c>
      <c r="F30" s="13">
        <v>70</v>
      </c>
    </row>
    <row r="31" spans="1:6" x14ac:dyDescent="0.3">
      <c r="A31" s="5" t="s">
        <v>30</v>
      </c>
      <c r="B31" s="7">
        <f>B28+B29+B30</f>
        <v>-8043</v>
      </c>
      <c r="C31" s="7">
        <f>C28+C29+C30</f>
        <v>-6881</v>
      </c>
      <c r="D31" s="7">
        <f>D28+D29+D30</f>
        <v>-4641</v>
      </c>
      <c r="E31" s="7">
        <f>E28+E29+E30</f>
        <v>-5008</v>
      </c>
      <c r="F31" s="7">
        <f>F28+F29+F30</f>
        <v>-3171</v>
      </c>
    </row>
    <row r="32" spans="1:6" x14ac:dyDescent="0.3">
      <c r="A32" s="4" t="s">
        <v>31</v>
      </c>
      <c r="B32" s="6">
        <v>-2678</v>
      </c>
      <c r="C32" s="6">
        <v>-2932</v>
      </c>
      <c r="D32" s="6">
        <v>-1592</v>
      </c>
      <c r="E32" s="6">
        <v>-3683</v>
      </c>
      <c r="F32" s="6">
        <v>-3673</v>
      </c>
    </row>
    <row r="33" spans="1:6" x14ac:dyDescent="0.3">
      <c r="A33" s="4" t="s">
        <v>46</v>
      </c>
      <c r="B33" s="6">
        <v>-943</v>
      </c>
      <c r="C33" s="6">
        <v>1532</v>
      </c>
      <c r="D33" s="6">
        <v>-191</v>
      </c>
      <c r="E33" s="6">
        <v>-334</v>
      </c>
      <c r="F33" s="6">
        <v>-26</v>
      </c>
    </row>
    <row r="34" spans="1:6" x14ac:dyDescent="0.3">
      <c r="A34" s="4" t="s">
        <v>32</v>
      </c>
      <c r="B34" s="6">
        <v>-3500</v>
      </c>
      <c r="C34" s="6">
        <v>-2992</v>
      </c>
      <c r="D34" s="6">
        <v>0</v>
      </c>
      <c r="E34" s="6">
        <v>0</v>
      </c>
      <c r="F34" s="6">
        <v>435</v>
      </c>
    </row>
    <row r="35" spans="1:6" ht="15" thickBot="1" x14ac:dyDescent="0.35">
      <c r="A35" s="4" t="s">
        <v>47</v>
      </c>
      <c r="B35" s="6">
        <v>-1803</v>
      </c>
      <c r="C35" s="6">
        <v>-1366</v>
      </c>
      <c r="D35" s="6">
        <v>0</v>
      </c>
      <c r="E35" s="6">
        <v>0</v>
      </c>
      <c r="F35" s="6">
        <v>0</v>
      </c>
    </row>
    <row r="36" spans="1:6" ht="15" thickBot="1" x14ac:dyDescent="0.35">
      <c r="A36" s="19" t="s">
        <v>48</v>
      </c>
      <c r="B36" s="13">
        <v>-1442</v>
      </c>
      <c r="C36" s="13">
        <v>-9530</v>
      </c>
      <c r="D36" s="13">
        <v>-941</v>
      </c>
      <c r="E36" s="13">
        <v>-712</v>
      </c>
      <c r="F36" s="13">
        <v>-1121</v>
      </c>
    </row>
    <row r="37" spans="1:6" ht="15" thickBot="1" x14ac:dyDescent="0.35">
      <c r="A37" s="14" t="s">
        <v>33</v>
      </c>
      <c r="B37" s="7">
        <f>B32+B33+B34+B36++B35</f>
        <v>-10366</v>
      </c>
      <c r="C37" s="7">
        <f>C32+C33+C34+C36++C35</f>
        <v>-15288</v>
      </c>
      <c r="D37" s="7">
        <f>D32+D33+D34+D36++D35</f>
        <v>-2724</v>
      </c>
      <c r="E37" s="7">
        <f>E32+E33+E34+E36++E35</f>
        <v>-4729</v>
      </c>
      <c r="F37" s="7">
        <f>F32+F33+F34+F36++F35</f>
        <v>-4385</v>
      </c>
    </row>
    <row r="38" spans="1:6" x14ac:dyDescent="0.3">
      <c r="A38" t="s">
        <v>55</v>
      </c>
      <c r="B38" s="29">
        <v>5</v>
      </c>
      <c r="C38" s="29">
        <v>65</v>
      </c>
      <c r="D38" s="29">
        <v>73</v>
      </c>
      <c r="E38" s="29">
        <v>-603</v>
      </c>
      <c r="F38" s="29">
        <v>30</v>
      </c>
    </row>
    <row r="39" spans="1:6" x14ac:dyDescent="0.3">
      <c r="A39" s="5" t="s">
        <v>53</v>
      </c>
      <c r="B39" s="35">
        <f>-(B27+B31+B37)-B38</f>
        <v>303</v>
      </c>
      <c r="C39" s="35">
        <f>-(C27+C31+C37)-C38</f>
        <v>8133</v>
      </c>
      <c r="D39" s="35">
        <f>-(D27+D31+D37)-D38</f>
        <v>-2574</v>
      </c>
      <c r="E39" s="35">
        <f>-(E27+E31+E37)-E38</f>
        <v>4338</v>
      </c>
      <c r="F39" s="35">
        <f>-(F27+F31+F37)-F38</f>
        <v>1960</v>
      </c>
    </row>
    <row r="40" spans="1:6" ht="15" thickBot="1" x14ac:dyDescent="0.35">
      <c r="A40" s="23" t="s">
        <v>54</v>
      </c>
      <c r="B40" s="29">
        <v>6102</v>
      </c>
      <c r="C40" s="29">
        <v>14235</v>
      </c>
      <c r="D40" s="29">
        <v>11661</v>
      </c>
      <c r="E40" s="29">
        <v>16003</v>
      </c>
      <c r="F40" s="29">
        <v>17954</v>
      </c>
    </row>
    <row r="41" spans="1:6" ht="15" thickBot="1" x14ac:dyDescent="0.35">
      <c r="A41" s="30" t="s">
        <v>56</v>
      </c>
      <c r="B41" s="53">
        <f>B40-B39</f>
        <v>5799</v>
      </c>
      <c r="C41" s="53">
        <f>C40-C39</f>
        <v>6102</v>
      </c>
      <c r="D41" s="53">
        <f>D40-D39</f>
        <v>14235</v>
      </c>
      <c r="E41" s="53">
        <f>E40-E39</f>
        <v>11665</v>
      </c>
      <c r="F41" s="53">
        <f>F40-F39</f>
        <v>15994</v>
      </c>
    </row>
  </sheetData>
  <mergeCells count="2">
    <mergeCell ref="A1:F1"/>
    <mergeCell ref="A18:F18"/>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2597-3F2B-49AC-B383-CE6E6D1D4BB1}">
  <sheetPr>
    <tabColor theme="3" tint="-0.249977111117893"/>
  </sheetPr>
  <dimension ref="A1:BA73"/>
  <sheetViews>
    <sheetView showGridLines="0" zoomScale="72" zoomScaleNormal="72" workbookViewId="0">
      <selection activeCell="R6" sqref="R6"/>
    </sheetView>
  </sheetViews>
  <sheetFormatPr defaultRowHeight="14.4" x14ac:dyDescent="0.3"/>
  <cols>
    <col min="1" max="1" width="2.77734375" style="104" customWidth="1"/>
    <col min="5" max="5" width="10.109375" bestFit="1" customWidth="1"/>
    <col min="11" max="11" width="24.88671875" customWidth="1"/>
    <col min="14" max="14" width="2.77734375" style="39" customWidth="1"/>
    <col min="18" max="18" width="11.21875" bestFit="1" customWidth="1"/>
    <col min="19" max="21" width="9.44140625" bestFit="1" customWidth="1"/>
    <col min="22" max="22" width="9" bestFit="1" customWidth="1"/>
  </cols>
  <sheetData>
    <row r="1" spans="1:53" s="38" customFormat="1" ht="19.2" customHeight="1" thickBot="1" x14ac:dyDescent="0.35">
      <c r="A1" s="104"/>
      <c r="B1" s="42" t="s">
        <v>57</v>
      </c>
      <c r="C1" s="42"/>
      <c r="D1" s="42"/>
      <c r="E1" s="42"/>
      <c r="F1" s="42"/>
      <c r="G1" s="42"/>
      <c r="H1" s="42"/>
      <c r="I1" s="42"/>
      <c r="J1" s="42"/>
      <c r="K1" s="42"/>
      <c r="L1" s="42"/>
      <c r="M1" s="42"/>
      <c r="N1" s="44"/>
      <c r="O1" s="42"/>
      <c r="P1" s="42"/>
      <c r="Q1" s="42"/>
      <c r="R1" s="42"/>
      <c r="S1" s="42"/>
      <c r="T1" s="42"/>
      <c r="U1" s="42"/>
      <c r="V1" s="42"/>
      <c r="W1" s="42"/>
      <c r="X1" s="42"/>
      <c r="Y1" s="41"/>
      <c r="Z1" s="42"/>
      <c r="AA1" s="41"/>
      <c r="AB1" s="41"/>
      <c r="AC1" s="41"/>
      <c r="AD1" s="41"/>
      <c r="AE1" s="41"/>
      <c r="AF1" s="41"/>
      <c r="AG1" s="41"/>
      <c r="AH1" s="41"/>
      <c r="AI1" s="40"/>
      <c r="AJ1" s="40"/>
      <c r="AK1" s="40"/>
      <c r="AL1" s="40"/>
      <c r="AM1" s="40"/>
      <c r="AN1" s="40"/>
      <c r="AO1" s="40"/>
      <c r="AP1" s="40"/>
      <c r="AQ1" s="40"/>
      <c r="AR1" s="40"/>
      <c r="AS1" s="40"/>
      <c r="AT1" s="40"/>
      <c r="AU1" s="40"/>
      <c r="AV1" s="40"/>
      <c r="AW1" s="40"/>
      <c r="AX1" s="40"/>
      <c r="AY1" s="40"/>
      <c r="AZ1" s="40"/>
      <c r="BA1" s="40"/>
    </row>
    <row r="2" spans="1:53" ht="15.6" x14ac:dyDescent="0.3">
      <c r="D2" s="102" t="s">
        <v>58</v>
      </c>
      <c r="E2" s="102"/>
      <c r="F2" s="102"/>
      <c r="G2" s="43"/>
      <c r="H2" s="43"/>
      <c r="I2" s="43"/>
      <c r="M2" s="50"/>
      <c r="N2" s="64"/>
      <c r="R2" s="65" t="s">
        <v>95</v>
      </c>
      <c r="S2" s="65"/>
      <c r="T2" s="65"/>
      <c r="U2" s="43"/>
    </row>
    <row r="3" spans="1:53" ht="15" thickBot="1" x14ac:dyDescent="0.35">
      <c r="B3" t="s">
        <v>59</v>
      </c>
      <c r="M3" s="51"/>
      <c r="O3" t="s">
        <v>59</v>
      </c>
    </row>
    <row r="4" spans="1:53" ht="15" thickBot="1" x14ac:dyDescent="0.35">
      <c r="B4" s="110" t="s">
        <v>60</v>
      </c>
      <c r="C4" s="110"/>
      <c r="D4" s="48">
        <v>2025</v>
      </c>
      <c r="E4" s="48">
        <f>D4-1</f>
        <v>2024</v>
      </c>
      <c r="F4" s="48">
        <f>E4-1</f>
        <v>2023</v>
      </c>
      <c r="G4" s="48">
        <f>F4-1</f>
        <v>2022</v>
      </c>
      <c r="H4" s="48">
        <f>G4-1</f>
        <v>2021</v>
      </c>
      <c r="M4" s="51"/>
      <c r="N4" s="52"/>
      <c r="O4" s="108" t="s">
        <v>60</v>
      </c>
      <c r="P4" s="110"/>
      <c r="Q4" s="48">
        <v>2025</v>
      </c>
      <c r="R4" s="48">
        <f>Q4-1</f>
        <v>2024</v>
      </c>
      <c r="S4" s="48">
        <f>R4-1</f>
        <v>2023</v>
      </c>
      <c r="T4" s="48">
        <f>S4-1</f>
        <v>2022</v>
      </c>
      <c r="U4" s="48">
        <f>T4-1</f>
        <v>2021</v>
      </c>
    </row>
    <row r="5" spans="1:53" ht="15" thickBot="1" x14ac:dyDescent="0.35">
      <c r="B5" s="103" t="s">
        <v>61</v>
      </c>
      <c r="C5" s="103"/>
      <c r="D5" s="45">
        <f>Financials_Netflix!B9/Financials_Netflix!B3</f>
        <v>0.29494708634036132</v>
      </c>
      <c r="E5" s="45">
        <f>Financials_Netflix!C9/Financials_Netflix!C3</f>
        <v>0.26711168135348468</v>
      </c>
      <c r="F5" s="45">
        <f>Financials_Netflix!D9/Financials_Netflix!D3</f>
        <v>0.20620769616259382</v>
      </c>
      <c r="G5" s="45">
        <f>Financials_Netflix!E9/Financials_Netflix!E3</f>
        <v>0.17816663002857772</v>
      </c>
      <c r="H5" s="45">
        <f>Financials_Netflix!F9/Financials_Netflix!F3</f>
        <v>0.20858446270839898</v>
      </c>
      <c r="M5" s="51"/>
      <c r="O5" s="103" t="s">
        <v>61</v>
      </c>
      <c r="P5" s="103"/>
      <c r="Q5" s="45">
        <f>'Financials_The Walt Disney'!B10/'Financials_The Walt Disney'!B3</f>
        <v>0.13781307916335717</v>
      </c>
      <c r="R5" s="45">
        <f>'Financials_The Walt Disney'!C10/'Financials_The Walt Disney'!C3</f>
        <v>9.105635884020534E-2</v>
      </c>
      <c r="S5" s="45">
        <f>'Financials_The Walt Disney'!D10/'Financials_The Walt Disney'!D3</f>
        <v>5.7369119665234315E-2</v>
      </c>
      <c r="T5" s="45">
        <f>'Financials_The Walt Disney'!E10/'Financials_The Walt Disney'!E3</f>
        <v>7.8975363264911391E-2</v>
      </c>
      <c r="U5" s="45">
        <f>'Financials_The Walt Disney'!F10/'Financials_The Walt Disney'!F3</f>
        <v>4.4572666053576196E-2</v>
      </c>
    </row>
    <row r="6" spans="1:53" ht="15" thickBot="1" x14ac:dyDescent="0.35">
      <c r="B6" s="103" t="s">
        <v>62</v>
      </c>
      <c r="C6" s="103"/>
      <c r="D6" s="45">
        <f>Financials_Netflix!B13/Financials_Netflix!B3</f>
        <v>0.24303818423904189</v>
      </c>
      <c r="E6" s="45">
        <f>Financials_Netflix!C13/Financials_Netflix!C3</f>
        <v>0.22336960423538296</v>
      </c>
      <c r="F6" s="45">
        <f>Financials_Netflix!D13/Financials_Netflix!D3</f>
        <v>0.16036363582448931</v>
      </c>
      <c r="G6" s="45">
        <f>Financials_Netflix!E13/Financials_Netflix!E3</f>
        <v>0.14207973607923949</v>
      </c>
      <c r="H6" s="45">
        <f>Financials_Netflix!F13/Financials_Netflix!F3</f>
        <v>0.1722760645218642</v>
      </c>
      <c r="M6" s="51"/>
      <c r="O6" s="103" t="s">
        <v>62</v>
      </c>
      <c r="P6" s="103"/>
      <c r="Q6" s="45">
        <f>'Financials_The Walt Disney'!B16/'Financials_The Walt Disney'!B3</f>
        <v>0.1313635160180037</v>
      </c>
      <c r="R6" s="45">
        <f>'Financials_The Walt Disney'!C16/'Financials_The Walt Disney'!C3</f>
        <v>5.4421470868313615E-2</v>
      </c>
      <c r="S6" s="45">
        <f>'Financials_The Walt Disney'!D16/'Financials_The Walt Disney'!D3</f>
        <v>2.6479785821953251E-2</v>
      </c>
      <c r="T6" s="45">
        <f>'Financials_The Walt Disney'!E16/'Financials_The Walt Disney'!E3</f>
        <v>3.8018906699547883E-2</v>
      </c>
      <c r="U6" s="45">
        <f>'Financials_The Walt Disney'!F16/'Financials_The Walt Disney'!F3</f>
        <v>2.9591503752706992E-2</v>
      </c>
    </row>
    <row r="7" spans="1:53" x14ac:dyDescent="0.3">
      <c r="M7" s="51"/>
    </row>
    <row r="8" spans="1:53" x14ac:dyDescent="0.3">
      <c r="M8" s="51"/>
    </row>
    <row r="9" spans="1:53" ht="15" thickBot="1" x14ac:dyDescent="0.35">
      <c r="B9" s="106" t="s">
        <v>65</v>
      </c>
      <c r="C9" s="106"/>
      <c r="D9" s="106"/>
      <c r="M9" s="51"/>
      <c r="O9" s="106" t="s">
        <v>65</v>
      </c>
      <c r="P9" s="106"/>
      <c r="Q9" s="106"/>
    </row>
    <row r="10" spans="1:53" ht="15" thickBot="1" x14ac:dyDescent="0.35">
      <c r="B10" s="109" t="s">
        <v>60</v>
      </c>
      <c r="C10" s="107"/>
      <c r="D10" s="108"/>
      <c r="E10" s="48">
        <v>2025</v>
      </c>
      <c r="F10" s="48">
        <f>E10-1</f>
        <v>2024</v>
      </c>
      <c r="G10" s="48">
        <f>F10-1</f>
        <v>2023</v>
      </c>
      <c r="H10" s="48">
        <f>G10-1</f>
        <v>2022</v>
      </c>
      <c r="I10" s="48">
        <f>H10-1</f>
        <v>2021</v>
      </c>
      <c r="M10" s="51"/>
      <c r="N10" s="52"/>
      <c r="O10" s="107" t="s">
        <v>60</v>
      </c>
      <c r="P10" s="107"/>
      <c r="Q10" s="108"/>
      <c r="R10" s="48">
        <v>2025</v>
      </c>
      <c r="S10" s="48">
        <f>R10-1</f>
        <v>2024</v>
      </c>
      <c r="T10" s="48">
        <f>S10-1</f>
        <v>2023</v>
      </c>
      <c r="U10" s="48">
        <f>T10-1</f>
        <v>2022</v>
      </c>
      <c r="V10" s="48">
        <f>U10-1</f>
        <v>2021</v>
      </c>
    </row>
    <row r="11" spans="1:53" ht="15" thickBot="1" x14ac:dyDescent="0.35">
      <c r="B11" s="103" t="s">
        <v>63</v>
      </c>
      <c r="C11" s="103"/>
      <c r="D11" s="103"/>
      <c r="E11" s="47">
        <f>(Financials_Netflix!B23+Financials_Netflix!B24)</f>
        <v>9461.0510000000013</v>
      </c>
      <c r="F11" s="47">
        <f>(Financials_Netflix!C23+Financials_Netflix!C24)</f>
        <v>6921.8249999999989</v>
      </c>
      <c r="G11" s="47">
        <f>(Financials_Netflix!D23+Financials_Netflix!D24)</f>
        <v>6925.7480000000005</v>
      </c>
      <c r="H11" s="47">
        <f>(Financials_Netflix!E23+Financials_Netflix!E24)</f>
        <v>1618.5290000000002</v>
      </c>
      <c r="I11" s="47">
        <f>(Financials_Netflix!F23+Financials_Netflix!F24)</f>
        <v>-131.97499999999957</v>
      </c>
      <c r="M11" s="51"/>
      <c r="N11" s="52"/>
      <c r="O11" s="101" t="s">
        <v>63</v>
      </c>
      <c r="P11" s="103"/>
      <c r="Q11" s="103"/>
      <c r="R11" s="49">
        <f>'Financials_The Walt Disney'!B27+'Financials_The Walt Disney'!B28</f>
        <v>10077</v>
      </c>
      <c r="S11" s="49">
        <f>'Financials_The Walt Disney'!C27+'Financials_The Walt Disney'!C28</f>
        <v>8559</v>
      </c>
      <c r="T11" s="49">
        <f>'Financials_The Walt Disney'!D27+'Financials_The Walt Disney'!D28</f>
        <v>4897</v>
      </c>
      <c r="U11" s="49">
        <f>'Financials_The Walt Disney'!E27+'Financials_The Walt Disney'!E28</f>
        <v>1059</v>
      </c>
      <c r="V11" s="49">
        <f>'Financials_The Walt Disney'!F27+'Financials_The Walt Disney'!F28</f>
        <v>1988</v>
      </c>
    </row>
    <row r="12" spans="1:53" ht="15" thickBot="1" x14ac:dyDescent="0.35">
      <c r="B12" s="103" t="s">
        <v>64</v>
      </c>
      <c r="C12" s="103"/>
      <c r="D12" s="103"/>
      <c r="E12" s="46">
        <f>Ratios!E11/Financials_Netflix!B3</f>
        <v>0.20939385663293131</v>
      </c>
      <c r="F12" s="46">
        <f>Ratios!F11/Financials_Netflix!C3</f>
        <v>0.17747832361049573</v>
      </c>
      <c r="G12" s="46">
        <f>Ratios!G11/Financials_Netflix!D3</f>
        <v>0.20536981849344518</v>
      </c>
      <c r="H12" s="46">
        <f>Ratios!H11/Financials_Netflix!E3</f>
        <v>5.1194080128291311E-2</v>
      </c>
      <c r="I12" s="46">
        <f>Ratios!I11/Financials_Netflix!F3</f>
        <v>-4.4439258882127313E-3</v>
      </c>
      <c r="M12" s="51"/>
      <c r="N12" s="52"/>
      <c r="O12" s="101" t="s">
        <v>64</v>
      </c>
      <c r="P12" s="103"/>
      <c r="Q12" s="103"/>
      <c r="R12" s="46">
        <f>R11/'Financials_The Walt Disney'!B3</f>
        <v>0.10671961874503574</v>
      </c>
      <c r="S12" s="46">
        <f>S11/'Financials_The Walt Disney'!C3</f>
        <v>9.3683300314138421E-2</v>
      </c>
      <c r="T12" s="46">
        <f>T11/'Financials_The Walt Disney'!D3</f>
        <v>5.5085603725618125E-2</v>
      </c>
      <c r="U12" s="46">
        <f>U11/'Financials_The Walt Disney'!E3</f>
        <v>1.2801914847319939E-2</v>
      </c>
      <c r="V12" s="46">
        <f>V11/'Financials_The Walt Disney'!F3</f>
        <v>2.9487673914978196E-2</v>
      </c>
    </row>
    <row r="13" spans="1:53" x14ac:dyDescent="0.3">
      <c r="M13" s="51"/>
    </row>
    <row r="14" spans="1:53" x14ac:dyDescent="0.3">
      <c r="M14" s="51"/>
    </row>
    <row r="15" spans="1:53" ht="15" thickBot="1" x14ac:dyDescent="0.35">
      <c r="B15" s="106" t="s">
        <v>66</v>
      </c>
      <c r="C15" s="106"/>
      <c r="D15" s="106"/>
      <c r="M15" s="51"/>
      <c r="O15" s="106" t="s">
        <v>66</v>
      </c>
      <c r="P15" s="106"/>
      <c r="Q15" s="106"/>
    </row>
    <row r="16" spans="1:53" ht="15" thickBot="1" x14ac:dyDescent="0.35">
      <c r="B16" s="109" t="s">
        <v>60</v>
      </c>
      <c r="C16" s="107"/>
      <c r="D16" s="107"/>
      <c r="E16" s="108"/>
      <c r="F16" s="48">
        <v>2025</v>
      </c>
      <c r="G16" s="48">
        <f>F16-1</f>
        <v>2024</v>
      </c>
      <c r="H16" s="48">
        <f>G16-1</f>
        <v>2023</v>
      </c>
      <c r="I16" s="48">
        <f>H16-1</f>
        <v>2022</v>
      </c>
      <c r="J16" s="48">
        <f>I16-1</f>
        <v>2021</v>
      </c>
      <c r="M16" s="51"/>
      <c r="N16" s="52"/>
      <c r="O16" s="107" t="s">
        <v>60</v>
      </c>
      <c r="P16" s="107"/>
      <c r="Q16" s="107"/>
      <c r="R16" s="108"/>
      <c r="S16" s="48">
        <v>2025</v>
      </c>
      <c r="T16" s="48">
        <f>S16-1</f>
        <v>2024</v>
      </c>
      <c r="U16" s="48">
        <f>T16-1</f>
        <v>2023</v>
      </c>
      <c r="V16" s="48">
        <f>U16-1</f>
        <v>2022</v>
      </c>
      <c r="W16" s="48">
        <f>V16-1</f>
        <v>2021</v>
      </c>
    </row>
    <row r="17" spans="2:23" ht="15" thickBot="1" x14ac:dyDescent="0.35">
      <c r="B17" s="103" t="s">
        <v>70</v>
      </c>
      <c r="C17" s="103"/>
      <c r="D17" s="103"/>
      <c r="E17" s="103"/>
      <c r="F17" s="47">
        <f>Financials_Netflix!B23/Financials_Netflix!B13</f>
        <v>0.92424027456370006</v>
      </c>
      <c r="G17" s="47">
        <f>Financials_Netflix!C23/Financials_Netflix!C13</f>
        <v>0.8450041892279847</v>
      </c>
      <c r="H17" s="47">
        <f>Financials_Netflix!D23/Financials_Netflix!D13</f>
        <v>1.3451020905914968</v>
      </c>
      <c r="I17" s="47">
        <f>Financials_Netflix!E23/Financials_Netflix!E13</f>
        <v>0.45108860803454376</v>
      </c>
      <c r="J17" s="47">
        <f>Financials_Netflix!F23/Financials_Netflix!F13</f>
        <v>7.6738190076398191E-2</v>
      </c>
      <c r="M17" s="51"/>
      <c r="N17" s="52"/>
      <c r="O17" s="101" t="s">
        <v>68</v>
      </c>
      <c r="P17" s="103"/>
      <c r="Q17" s="103"/>
      <c r="R17" s="103"/>
      <c r="S17" s="47">
        <f>'Financials_The Walt Disney'!B27/'Financials_The Walt Disney'!B16</f>
        <v>1.4592873266688164</v>
      </c>
      <c r="T17" s="47">
        <f>'Financials_The Walt Disney'!C27/'Financials_The Walt Disney'!C16</f>
        <v>2.8099356395816573</v>
      </c>
      <c r="U17" s="47">
        <f>'Financials_The Walt Disney'!D27/'Financials_The Walt Disney'!D16</f>
        <v>4.1911639762107056</v>
      </c>
      <c r="V17" s="47">
        <f>'Financials_The Walt Disney'!E27/'Financials_The Walt Disney'!E16</f>
        <v>1.9084260731319556</v>
      </c>
      <c r="W17" s="47">
        <f>'Financials_The Walt Disney'!F27/'Financials_The Walt Disney'!F16</f>
        <v>2.7899749373433584</v>
      </c>
    </row>
    <row r="18" spans="2:23" ht="15" thickBot="1" x14ac:dyDescent="0.35">
      <c r="B18" s="105" t="s">
        <v>67</v>
      </c>
      <c r="C18" s="100"/>
      <c r="D18" s="100"/>
      <c r="E18" s="101"/>
      <c r="F18" s="46">
        <f>Financials_Netflix!B23/Financials_Netflix!B3</f>
        <v>0.2246256781305552</v>
      </c>
      <c r="G18" s="46">
        <f>Financials_Netflix!C23/Financials_Netflix!C3</f>
        <v>0.18874825132509557</v>
      </c>
      <c r="H18" s="46">
        <f>Financials_Netflix!D23/Financials_Netflix!D3</f>
        <v>0.21570546180237402</v>
      </c>
      <c r="I18" s="46">
        <f>Financials_Netflix!E23/Financials_Netflix!E3</f>
        <v>6.4090550377899499E-2</v>
      </c>
      <c r="J18" s="46">
        <f>Financials_Netflix!F23/Financials_Netflix!F3</f>
        <v>1.3220153384892654E-2</v>
      </c>
      <c r="M18" s="51"/>
      <c r="N18" s="52"/>
      <c r="O18" s="100" t="s">
        <v>67</v>
      </c>
      <c r="P18" s="100"/>
      <c r="Q18" s="100"/>
      <c r="R18" s="101"/>
      <c r="S18" s="46">
        <f>'Financials_The Walt Disney'!B27/'Financials_The Walt Disney'!B3</f>
        <v>0.19169711411172888</v>
      </c>
      <c r="T18" s="46">
        <f>'Financials_The Walt Disney'!C27/'Financials_The Walt Disney'!C3</f>
        <v>0.15292083055132935</v>
      </c>
      <c r="U18" s="46">
        <f>'Financials_The Walt Disney'!D27/'Financials_The Walt Disney'!D3</f>
        <v>0.11098112443474543</v>
      </c>
      <c r="V18" s="46">
        <f>'Financials_The Walt Disney'!E27/'Financials_The Walt Disney'!E3</f>
        <v>7.2556272817388356E-2</v>
      </c>
      <c r="W18" s="46">
        <f>'Financials_The Walt Disney'!F27/'Financials_The Walt Disney'!F3</f>
        <v>8.2559553828354448E-2</v>
      </c>
    </row>
    <row r="19" spans="2:23" ht="15" thickBot="1" x14ac:dyDescent="0.35">
      <c r="B19" s="105" t="s">
        <v>69</v>
      </c>
      <c r="C19" s="100"/>
      <c r="D19" s="100"/>
      <c r="E19" s="101"/>
      <c r="F19" s="47">
        <f>Financials_Netflix!B23/Financials_Netflix!B9</f>
        <v>0.76157957997707748</v>
      </c>
      <c r="G19" s="47">
        <f>Financials_Netflix!C23/Financials_Netflix!C9</f>
        <v>0.70662672021188722</v>
      </c>
      <c r="H19" s="47">
        <f>Financials_Netflix!D23/Financials_Netflix!D9</f>
        <v>1.0460592199831924</v>
      </c>
      <c r="I19" s="47">
        <f>Financials_Netflix!E23/Financials_Netflix!E9</f>
        <v>0.35972252698285556</v>
      </c>
      <c r="J19" s="47">
        <f>Financials_Netflix!F23/Financials_Netflix!F9</f>
        <v>6.3380336259150932E-2</v>
      </c>
      <c r="M19" s="51"/>
      <c r="N19" s="52"/>
      <c r="O19" s="100" t="s">
        <v>69</v>
      </c>
      <c r="P19" s="100"/>
      <c r="Q19" s="100"/>
      <c r="R19" s="101"/>
      <c r="S19" s="47">
        <f>'Financials_The Walt Disney'!B27/'Financials_The Walt Disney'!B10</f>
        <v>1.3909936217628525</v>
      </c>
      <c r="T19" s="47">
        <f>'Financials_The Walt Disney'!C27/'Financials_The Walt Disney'!C10</f>
        <v>1.6794085827623513</v>
      </c>
      <c r="U19" s="47">
        <f>'Financials_The Walt Disney'!D27/'Financials_The Walt Disney'!D10</f>
        <v>1.9345098039215687</v>
      </c>
      <c r="V19" s="47">
        <f>'Financials_The Walt Disney'!E27/'Financials_The Walt Disney'!E10</f>
        <v>0.91872034287463644</v>
      </c>
      <c r="W19" s="47">
        <f>'Financials_The Walt Disney'!F27/'Financials_The Walt Disney'!F10</f>
        <v>1.8522462562396007</v>
      </c>
    </row>
    <row r="22" spans="2:23" x14ac:dyDescent="0.3">
      <c r="K22" s="113" t="s">
        <v>86</v>
      </c>
      <c r="L22" s="113"/>
      <c r="M22" s="113"/>
      <c r="N22" s="113"/>
      <c r="O22" s="113"/>
      <c r="P22" s="113"/>
    </row>
    <row r="23" spans="2:23" x14ac:dyDescent="0.3">
      <c r="K23" s="115" t="s">
        <v>60</v>
      </c>
      <c r="L23" s="116"/>
      <c r="M23" s="55" t="s">
        <v>71</v>
      </c>
      <c r="N23" s="57"/>
      <c r="O23" s="55" t="s">
        <v>72</v>
      </c>
      <c r="P23" s="55" t="s">
        <v>73</v>
      </c>
    </row>
    <row r="24" spans="2:23" x14ac:dyDescent="0.3">
      <c r="K24" s="111" t="s">
        <v>74</v>
      </c>
      <c r="L24" s="112"/>
      <c r="M24" s="60" t="s">
        <v>87</v>
      </c>
      <c r="N24" s="59"/>
      <c r="O24" s="61" t="s">
        <v>75</v>
      </c>
      <c r="P24" s="61" t="s">
        <v>76</v>
      </c>
    </row>
    <row r="25" spans="2:23" x14ac:dyDescent="0.3">
      <c r="K25" s="111" t="s">
        <v>77</v>
      </c>
      <c r="L25" s="112"/>
      <c r="M25" s="60" t="s">
        <v>88</v>
      </c>
      <c r="N25" s="59"/>
      <c r="O25" s="61" t="s">
        <v>78</v>
      </c>
      <c r="P25" s="61" t="s">
        <v>79</v>
      </c>
    </row>
    <row r="26" spans="2:23" x14ac:dyDescent="0.3">
      <c r="K26" s="117" t="s">
        <v>80</v>
      </c>
      <c r="L26" s="118"/>
      <c r="M26" s="60" t="s">
        <v>89</v>
      </c>
      <c r="N26" s="59"/>
      <c r="O26" s="61" t="s">
        <v>82</v>
      </c>
      <c r="P26" s="61" t="s">
        <v>83</v>
      </c>
    </row>
    <row r="27" spans="2:23" x14ac:dyDescent="0.3">
      <c r="K27" s="111" t="s">
        <v>84</v>
      </c>
      <c r="L27" s="112"/>
      <c r="M27" s="56" t="s">
        <v>87</v>
      </c>
      <c r="N27" s="59"/>
      <c r="O27" s="61" t="s">
        <v>75</v>
      </c>
      <c r="P27" s="61" t="s">
        <v>76</v>
      </c>
    </row>
    <row r="28" spans="2:23" x14ac:dyDescent="0.3">
      <c r="K28" s="111" t="s">
        <v>64</v>
      </c>
      <c r="L28" s="112"/>
      <c r="M28" s="60" t="s">
        <v>90</v>
      </c>
      <c r="N28" s="58"/>
      <c r="O28" s="61" t="s">
        <v>85</v>
      </c>
      <c r="P28" s="61" t="s">
        <v>79</v>
      </c>
    </row>
    <row r="29" spans="2:23" x14ac:dyDescent="0.3">
      <c r="K29" s="111" t="s">
        <v>69</v>
      </c>
      <c r="L29" s="112"/>
      <c r="M29" s="61" t="s">
        <v>81</v>
      </c>
      <c r="N29" s="58"/>
      <c r="O29" s="61" t="s">
        <v>82</v>
      </c>
      <c r="P29" s="61" t="s">
        <v>110</v>
      </c>
    </row>
    <row r="30" spans="2:23" x14ac:dyDescent="0.3">
      <c r="K30" s="62" t="s">
        <v>94</v>
      </c>
      <c r="L30" s="63"/>
      <c r="M30" s="63"/>
      <c r="N30" s="63"/>
      <c r="P30" s="62"/>
      <c r="Q30" s="62"/>
      <c r="R30" s="62"/>
    </row>
    <row r="31" spans="2:23" x14ac:dyDescent="0.3">
      <c r="K31" s="62" t="s">
        <v>91</v>
      </c>
      <c r="L31" s="62"/>
      <c r="M31" s="62"/>
      <c r="N31" s="62"/>
      <c r="O31" s="62"/>
      <c r="P31" s="62"/>
      <c r="Q31" s="62"/>
      <c r="R31" s="62"/>
    </row>
    <row r="32" spans="2:23" x14ac:dyDescent="0.3">
      <c r="K32" s="62" t="s">
        <v>92</v>
      </c>
      <c r="L32" s="62"/>
      <c r="M32" s="62"/>
      <c r="N32" s="62"/>
      <c r="O32" s="62"/>
      <c r="P32" s="62"/>
      <c r="Q32" s="62"/>
      <c r="R32" s="62"/>
    </row>
    <row r="33" spans="11:18" x14ac:dyDescent="0.3">
      <c r="K33" s="62" t="s">
        <v>93</v>
      </c>
      <c r="L33" s="62"/>
      <c r="M33" s="62"/>
      <c r="N33" s="62"/>
      <c r="O33" s="62"/>
      <c r="P33" s="62"/>
      <c r="Q33" s="62"/>
      <c r="R33" s="62"/>
    </row>
    <row r="34" spans="11:18" x14ac:dyDescent="0.3">
      <c r="K34" s="114"/>
      <c r="L34" s="114"/>
      <c r="M34" s="114"/>
      <c r="N34" s="114"/>
      <c r="O34" s="114"/>
      <c r="P34" s="62"/>
      <c r="Q34" s="62"/>
      <c r="R34" s="62"/>
    </row>
    <row r="35" spans="11:18" x14ac:dyDescent="0.3">
      <c r="K35" s="62"/>
    </row>
    <row r="36" spans="11:18" x14ac:dyDescent="0.3">
      <c r="K36" s="62"/>
    </row>
    <row r="37" spans="11:18" x14ac:dyDescent="0.3">
      <c r="K37" s="62"/>
    </row>
    <row r="68" spans="13:13" x14ac:dyDescent="0.3">
      <c r="M68" s="37"/>
    </row>
    <row r="69" spans="13:13" x14ac:dyDescent="0.3">
      <c r="M69" s="37"/>
    </row>
    <row r="70" spans="13:13" x14ac:dyDescent="0.3">
      <c r="M70" s="37"/>
    </row>
    <row r="71" spans="13:13" x14ac:dyDescent="0.3">
      <c r="M71" s="37"/>
    </row>
    <row r="72" spans="13:13" x14ac:dyDescent="0.3">
      <c r="M72" s="37"/>
    </row>
    <row r="73" spans="13:13" x14ac:dyDescent="0.3">
      <c r="M73" s="37"/>
    </row>
  </sheetData>
  <mergeCells count="35">
    <mergeCell ref="K29:L29"/>
    <mergeCell ref="K22:P22"/>
    <mergeCell ref="K34:O34"/>
    <mergeCell ref="K24:L24"/>
    <mergeCell ref="K25:L25"/>
    <mergeCell ref="K23:L23"/>
    <mergeCell ref="K26:L26"/>
    <mergeCell ref="K27:L27"/>
    <mergeCell ref="K28:L28"/>
    <mergeCell ref="O4:P4"/>
    <mergeCell ref="O5:P5"/>
    <mergeCell ref="B11:D11"/>
    <mergeCell ref="B12:D12"/>
    <mergeCell ref="B9:D9"/>
    <mergeCell ref="B10:D10"/>
    <mergeCell ref="B5:C5"/>
    <mergeCell ref="B6:C6"/>
    <mergeCell ref="B4:C4"/>
    <mergeCell ref="O6:P6"/>
    <mergeCell ref="O19:R19"/>
    <mergeCell ref="D2:F2"/>
    <mergeCell ref="O17:R17"/>
    <mergeCell ref="A1:A1048576"/>
    <mergeCell ref="B18:E18"/>
    <mergeCell ref="B19:E19"/>
    <mergeCell ref="O18:R18"/>
    <mergeCell ref="O9:Q9"/>
    <mergeCell ref="O10:Q10"/>
    <mergeCell ref="O11:Q11"/>
    <mergeCell ref="O12:Q12"/>
    <mergeCell ref="O15:Q15"/>
    <mergeCell ref="O16:R16"/>
    <mergeCell ref="B17:E17"/>
    <mergeCell ref="B15:D15"/>
    <mergeCell ref="B16:E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AF61-9CB4-45B0-9CF0-01B632587D41}">
  <sheetPr>
    <tabColor theme="3" tint="-0.249977111117893"/>
  </sheetPr>
  <dimension ref="B1:S40"/>
  <sheetViews>
    <sheetView zoomScaleNormal="100" workbookViewId="0">
      <selection activeCell="B15" sqref="B15"/>
    </sheetView>
  </sheetViews>
  <sheetFormatPr defaultRowHeight="14.4" x14ac:dyDescent="0.3"/>
  <cols>
    <col min="1" max="1" width="2.88671875" customWidth="1"/>
    <col min="2" max="2" width="31.33203125" customWidth="1"/>
    <col min="3" max="3" width="14.5546875" customWidth="1"/>
    <col min="8" max="8" width="21.109375" customWidth="1"/>
    <col min="9" max="9" width="64" customWidth="1"/>
    <col min="10" max="10" width="2.6640625" customWidth="1"/>
    <col min="11" max="11" width="31.44140625" customWidth="1"/>
    <col min="17" max="17" width="17.88671875" customWidth="1"/>
    <col min="18" max="18" width="64" customWidth="1"/>
  </cols>
  <sheetData>
    <row r="1" spans="2:19" ht="15.6" x14ac:dyDescent="0.3">
      <c r="B1" s="121" t="s">
        <v>58</v>
      </c>
      <c r="C1" s="122"/>
      <c r="D1" s="122"/>
      <c r="E1" s="122"/>
      <c r="F1" s="122"/>
      <c r="G1" s="122"/>
      <c r="H1" s="122"/>
      <c r="I1" s="122"/>
      <c r="K1" s="119" t="s">
        <v>95</v>
      </c>
      <c r="L1" s="120"/>
      <c r="M1" s="120"/>
      <c r="N1" s="120"/>
      <c r="O1" s="120"/>
      <c r="P1" s="120"/>
      <c r="Q1" s="120"/>
      <c r="R1" s="120"/>
    </row>
    <row r="2" spans="2:19" x14ac:dyDescent="0.3">
      <c r="B2" s="84" t="s">
        <v>97</v>
      </c>
      <c r="C2" s="67">
        <v>2021</v>
      </c>
      <c r="D2" s="67">
        <f>C2+1</f>
        <v>2022</v>
      </c>
      <c r="E2" s="67">
        <f>D2+1</f>
        <v>2023</v>
      </c>
      <c r="F2" s="67">
        <f>E2+1</f>
        <v>2024</v>
      </c>
      <c r="G2" s="67">
        <f>F2+1</f>
        <v>2025</v>
      </c>
      <c r="H2" s="84" t="s">
        <v>98</v>
      </c>
      <c r="I2" s="85" t="s">
        <v>96</v>
      </c>
      <c r="K2" s="85" t="s">
        <v>97</v>
      </c>
      <c r="L2" s="67">
        <v>2021</v>
      </c>
      <c r="M2" s="67">
        <f>L2+1</f>
        <v>2022</v>
      </c>
      <c r="N2" s="67">
        <f>M2+1</f>
        <v>2023</v>
      </c>
      <c r="O2" s="67">
        <f>N2+1</f>
        <v>2024</v>
      </c>
      <c r="P2" s="67">
        <f>O2+1</f>
        <v>2025</v>
      </c>
      <c r="Q2" s="84" t="s">
        <v>98</v>
      </c>
      <c r="R2" s="85" t="s">
        <v>96</v>
      </c>
    </row>
    <row r="3" spans="2:19" ht="42" customHeight="1" x14ac:dyDescent="0.3">
      <c r="B3" s="61" t="s">
        <v>99</v>
      </c>
      <c r="C3" s="69" t="s">
        <v>103</v>
      </c>
      <c r="D3" s="61" t="s">
        <v>104</v>
      </c>
      <c r="E3" s="61" t="s">
        <v>105</v>
      </c>
      <c r="F3" s="61" t="s">
        <v>105</v>
      </c>
      <c r="G3" s="61" t="s">
        <v>105</v>
      </c>
      <c r="H3" s="61" t="s">
        <v>106</v>
      </c>
      <c r="I3" s="72" t="s">
        <v>111</v>
      </c>
      <c r="J3" s="54"/>
      <c r="K3" s="61" t="s">
        <v>99</v>
      </c>
      <c r="L3" s="69" t="s">
        <v>103</v>
      </c>
      <c r="M3" s="61" t="s">
        <v>105</v>
      </c>
      <c r="N3" s="61" t="s">
        <v>104</v>
      </c>
      <c r="O3" s="61" t="s">
        <v>105</v>
      </c>
      <c r="P3" s="61" t="s">
        <v>105</v>
      </c>
      <c r="Q3" s="61" t="s">
        <v>106</v>
      </c>
      <c r="R3" s="71" t="s">
        <v>118</v>
      </c>
    </row>
    <row r="4" spans="2:19" ht="42" customHeight="1" x14ac:dyDescent="0.3">
      <c r="B4" s="61" t="s">
        <v>62</v>
      </c>
      <c r="C4" s="69" t="s">
        <v>103</v>
      </c>
      <c r="D4" s="61" t="s">
        <v>104</v>
      </c>
      <c r="E4" s="61" t="s">
        <v>105</v>
      </c>
      <c r="F4" s="61" t="s">
        <v>105</v>
      </c>
      <c r="G4" s="61" t="s">
        <v>105</v>
      </c>
      <c r="H4" s="61" t="s">
        <v>106</v>
      </c>
      <c r="I4" s="72" t="s">
        <v>112</v>
      </c>
      <c r="J4" s="73"/>
      <c r="K4" s="61" t="s">
        <v>62</v>
      </c>
      <c r="L4" s="69" t="s">
        <v>103</v>
      </c>
      <c r="M4" s="61" t="s">
        <v>103</v>
      </c>
      <c r="N4" s="61" t="s">
        <v>104</v>
      </c>
      <c r="O4" s="61" t="s">
        <v>105</v>
      </c>
      <c r="P4" s="61" t="s">
        <v>105</v>
      </c>
      <c r="Q4" s="61" t="s">
        <v>106</v>
      </c>
      <c r="R4" s="72" t="s">
        <v>119</v>
      </c>
      <c r="S4" s="68"/>
    </row>
    <row r="5" spans="2:19" ht="42" customHeight="1" x14ac:dyDescent="0.3">
      <c r="B5" s="61" t="s">
        <v>100</v>
      </c>
      <c r="C5" s="69" t="s">
        <v>103</v>
      </c>
      <c r="D5" s="61" t="s">
        <v>105</v>
      </c>
      <c r="E5" s="61" t="s">
        <v>105</v>
      </c>
      <c r="F5" s="61" t="s">
        <v>104</v>
      </c>
      <c r="G5" s="61" t="s">
        <v>105</v>
      </c>
      <c r="H5" s="61" t="s">
        <v>107</v>
      </c>
      <c r="I5" s="70" t="s">
        <v>113</v>
      </c>
      <c r="J5" s="73"/>
      <c r="K5" s="61" t="s">
        <v>100</v>
      </c>
      <c r="L5" s="69" t="s">
        <v>103</v>
      </c>
      <c r="M5" s="61" t="s">
        <v>104</v>
      </c>
      <c r="N5" s="61" t="s">
        <v>105</v>
      </c>
      <c r="O5" s="61" t="s">
        <v>104</v>
      </c>
      <c r="P5" s="61" t="s">
        <v>104</v>
      </c>
      <c r="Q5" s="61" t="s">
        <v>108</v>
      </c>
      <c r="R5" s="70" t="s">
        <v>120</v>
      </c>
      <c r="S5" s="68"/>
    </row>
    <row r="6" spans="2:19" ht="46.2" customHeight="1" x14ac:dyDescent="0.3">
      <c r="B6" s="61" t="s">
        <v>101</v>
      </c>
      <c r="C6" s="69" t="s">
        <v>104</v>
      </c>
      <c r="D6" s="61" t="s">
        <v>103</v>
      </c>
      <c r="E6" s="61" t="s">
        <v>105</v>
      </c>
      <c r="F6" s="61" t="s">
        <v>104</v>
      </c>
      <c r="G6" s="61" t="s">
        <v>105</v>
      </c>
      <c r="H6" s="61" t="s">
        <v>108</v>
      </c>
      <c r="I6" s="72" t="s">
        <v>114</v>
      </c>
      <c r="J6" s="73"/>
      <c r="K6" s="61" t="s">
        <v>101</v>
      </c>
      <c r="L6" s="69" t="s">
        <v>103</v>
      </c>
      <c r="M6" s="61" t="s">
        <v>104</v>
      </c>
      <c r="N6" s="61" t="s">
        <v>105</v>
      </c>
      <c r="O6" s="61" t="s">
        <v>105</v>
      </c>
      <c r="P6" s="61" t="s">
        <v>105</v>
      </c>
      <c r="Q6" s="61" t="s">
        <v>106</v>
      </c>
      <c r="R6" s="72" t="s">
        <v>121</v>
      </c>
    </row>
    <row r="7" spans="2:19" ht="33" customHeight="1" x14ac:dyDescent="0.3">
      <c r="B7" s="61" t="s">
        <v>70</v>
      </c>
      <c r="C7" s="69" t="s">
        <v>103</v>
      </c>
      <c r="D7" s="61" t="s">
        <v>105</v>
      </c>
      <c r="E7" s="61" t="s">
        <v>105</v>
      </c>
      <c r="F7" s="61" t="s">
        <v>104</v>
      </c>
      <c r="G7" s="61" t="s">
        <v>103</v>
      </c>
      <c r="H7" s="61" t="s">
        <v>109</v>
      </c>
      <c r="I7" s="72" t="s">
        <v>115</v>
      </c>
      <c r="J7" s="73"/>
      <c r="K7" s="61" t="s">
        <v>70</v>
      </c>
      <c r="L7" s="69" t="s">
        <v>103</v>
      </c>
      <c r="M7" s="61" t="s">
        <v>104</v>
      </c>
      <c r="N7" s="61" t="s">
        <v>105</v>
      </c>
      <c r="O7" s="61" t="s">
        <v>103</v>
      </c>
      <c r="P7" s="61" t="s">
        <v>104</v>
      </c>
      <c r="Q7" s="61" t="s">
        <v>109</v>
      </c>
      <c r="R7" s="74" t="s">
        <v>122</v>
      </c>
      <c r="S7" s="68"/>
    </row>
    <row r="8" spans="2:19" ht="39.6" customHeight="1" x14ac:dyDescent="0.3">
      <c r="B8" s="61" t="s">
        <v>67</v>
      </c>
      <c r="C8" s="69" t="s">
        <v>103</v>
      </c>
      <c r="D8" s="61" t="s">
        <v>105</v>
      </c>
      <c r="E8" s="61" t="s">
        <v>105</v>
      </c>
      <c r="F8" s="61" t="s">
        <v>104</v>
      </c>
      <c r="G8" s="61" t="s">
        <v>105</v>
      </c>
      <c r="H8" s="61" t="s">
        <v>106</v>
      </c>
      <c r="I8" s="70" t="s">
        <v>116</v>
      </c>
      <c r="J8" s="73"/>
      <c r="K8" s="61" t="s">
        <v>67</v>
      </c>
      <c r="L8" s="69" t="s">
        <v>103</v>
      </c>
      <c r="M8" s="61" t="s">
        <v>104</v>
      </c>
      <c r="N8" s="61" t="s">
        <v>105</v>
      </c>
      <c r="O8" s="61" t="s">
        <v>105</v>
      </c>
      <c r="P8" s="61" t="s">
        <v>105</v>
      </c>
      <c r="Q8" s="61" t="s">
        <v>106</v>
      </c>
      <c r="R8" s="72" t="s">
        <v>123</v>
      </c>
      <c r="S8" s="68"/>
    </row>
    <row r="9" spans="2:19" ht="33" customHeight="1" x14ac:dyDescent="0.3">
      <c r="B9" s="61" t="s">
        <v>69</v>
      </c>
      <c r="C9" s="69" t="s">
        <v>103</v>
      </c>
      <c r="D9" s="61" t="s">
        <v>105</v>
      </c>
      <c r="E9" s="61" t="s">
        <v>105</v>
      </c>
      <c r="F9" s="61" t="s">
        <v>104</v>
      </c>
      <c r="G9" s="61" t="s">
        <v>105</v>
      </c>
      <c r="H9" s="61" t="s">
        <v>106</v>
      </c>
      <c r="I9" s="72" t="s">
        <v>117</v>
      </c>
      <c r="J9" s="73"/>
      <c r="K9" s="61" t="s">
        <v>69</v>
      </c>
      <c r="L9" s="69" t="s">
        <v>103</v>
      </c>
      <c r="M9" s="61" t="s">
        <v>104</v>
      </c>
      <c r="N9" s="61" t="s">
        <v>103</v>
      </c>
      <c r="O9" s="61" t="s">
        <v>104</v>
      </c>
      <c r="P9" s="61" t="s">
        <v>104</v>
      </c>
      <c r="Q9" s="61" t="s">
        <v>102</v>
      </c>
      <c r="R9" s="72" t="s">
        <v>124</v>
      </c>
    </row>
    <row r="10" spans="2:19" ht="14.4" customHeight="1" x14ac:dyDescent="0.3"/>
    <row r="11" spans="2:19" ht="14.4" customHeight="1" x14ac:dyDescent="0.3"/>
    <row r="12" spans="2:19" ht="14.4" customHeight="1" x14ac:dyDescent="0.3"/>
    <row r="13" spans="2:19" ht="14.4" customHeight="1" x14ac:dyDescent="0.3"/>
    <row r="14" spans="2:19" ht="14.4" customHeight="1" x14ac:dyDescent="0.3"/>
    <row r="15" spans="2:19" x14ac:dyDescent="0.3">
      <c r="B15" s="66"/>
    </row>
    <row r="16" spans="2:19" x14ac:dyDescent="0.3">
      <c r="B16" s="66"/>
    </row>
    <row r="17" ht="14.4" customHeight="1" x14ac:dyDescent="0.3"/>
    <row r="18" ht="14.4" customHeight="1" x14ac:dyDescent="0.3"/>
    <row r="19" ht="14.4" customHeight="1" x14ac:dyDescent="0.3"/>
    <row r="20" ht="14.4" customHeight="1" x14ac:dyDescent="0.3"/>
    <row r="21" ht="14.4" customHeight="1" x14ac:dyDescent="0.3"/>
    <row r="22" ht="14.4" customHeight="1" x14ac:dyDescent="0.3"/>
    <row r="23" ht="14.4" customHeight="1" x14ac:dyDescent="0.3"/>
    <row r="24" ht="14.4" customHeight="1" x14ac:dyDescent="0.3"/>
    <row r="25" ht="14.4" customHeight="1" x14ac:dyDescent="0.3"/>
    <row r="26" ht="14.4" customHeight="1" x14ac:dyDescent="0.3"/>
    <row r="27" ht="14.4" customHeight="1" x14ac:dyDescent="0.3"/>
    <row r="28" ht="14.4" customHeight="1" x14ac:dyDescent="0.3"/>
    <row r="29" ht="14.4" customHeight="1" x14ac:dyDescent="0.3"/>
    <row r="30" ht="14.4" customHeight="1" x14ac:dyDescent="0.3"/>
    <row r="31" ht="14.4" customHeight="1" x14ac:dyDescent="0.3"/>
    <row r="32" ht="14.4" customHeight="1" x14ac:dyDescent="0.3"/>
    <row r="33" ht="14.4" customHeight="1" x14ac:dyDescent="0.3"/>
    <row r="34" ht="14.4" customHeight="1" x14ac:dyDescent="0.3"/>
    <row r="35" ht="14.4" customHeight="1" x14ac:dyDescent="0.3"/>
    <row r="36" ht="14.4" customHeight="1" x14ac:dyDescent="0.3"/>
    <row r="37" ht="14.4" customHeight="1" x14ac:dyDescent="0.3"/>
    <row r="38" ht="14.4" customHeight="1" x14ac:dyDescent="0.3"/>
    <row r="39" ht="14.4" customHeight="1" x14ac:dyDescent="0.3"/>
    <row r="40" ht="14.4" customHeight="1" x14ac:dyDescent="0.3"/>
  </sheetData>
  <mergeCells count="2">
    <mergeCell ref="K1:R1"/>
    <mergeCell ref="B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136E-F84C-4C05-B17D-2A14ED4CBECD}">
  <sheetPr>
    <tabColor theme="3" tint="-0.249977111117893"/>
  </sheetPr>
  <dimension ref="A1:S55"/>
  <sheetViews>
    <sheetView zoomScaleNormal="100" workbookViewId="0">
      <selection activeCell="K4" sqref="K4"/>
    </sheetView>
  </sheetViews>
  <sheetFormatPr defaultRowHeight="14.4" x14ac:dyDescent="0.3"/>
  <cols>
    <col min="1" max="1" width="54.6640625" customWidth="1"/>
    <col min="2" max="2" width="25.21875" customWidth="1"/>
    <col min="3" max="4" width="14.77734375" customWidth="1"/>
    <col min="5" max="5" width="12.21875" bestFit="1" customWidth="1"/>
    <col min="6" max="6" width="10.5546875" bestFit="1" customWidth="1"/>
    <col min="9" max="9" width="4.88671875" customWidth="1"/>
    <col min="10" max="10" width="22" customWidth="1"/>
    <col min="11" max="11" width="12.21875" bestFit="1" customWidth="1"/>
    <col min="12" max="12" width="23.77734375" bestFit="1" customWidth="1"/>
    <col min="13" max="13" width="16.33203125" customWidth="1"/>
    <col min="14" max="14" width="10.109375" customWidth="1"/>
    <col min="19" max="19" width="9.77734375" customWidth="1"/>
  </cols>
  <sheetData>
    <row r="1" spans="1:15" x14ac:dyDescent="0.3">
      <c r="C1" s="123" t="s">
        <v>58</v>
      </c>
      <c r="D1" s="123"/>
      <c r="K1" s="124" t="s">
        <v>95</v>
      </c>
      <c r="L1" s="124"/>
      <c r="M1" s="124"/>
    </row>
    <row r="2" spans="1:15" ht="15" thickBot="1" x14ac:dyDescent="0.35">
      <c r="A2" s="75" t="s">
        <v>127</v>
      </c>
      <c r="B2" s="23">
        <v>2025</v>
      </c>
      <c r="C2" s="23">
        <v>2024</v>
      </c>
      <c r="D2" s="23">
        <v>2023</v>
      </c>
      <c r="E2" s="23">
        <v>2022</v>
      </c>
      <c r="F2" s="23">
        <v>2021</v>
      </c>
      <c r="J2" s="23">
        <v>2025</v>
      </c>
      <c r="K2" s="23">
        <v>2024</v>
      </c>
      <c r="L2" s="23">
        <v>2023</v>
      </c>
      <c r="M2" s="23">
        <v>2022</v>
      </c>
      <c r="N2" s="23">
        <v>2021</v>
      </c>
    </row>
    <row r="3" spans="1:15" ht="15" thickBot="1" x14ac:dyDescent="0.35">
      <c r="A3" s="76" t="s">
        <v>74</v>
      </c>
      <c r="B3" s="45">
        <v>0.29494708634036132</v>
      </c>
      <c r="C3" s="45">
        <v>0.26711168135348468</v>
      </c>
      <c r="D3" s="45">
        <v>0.20620769616259382</v>
      </c>
      <c r="E3" s="45">
        <v>0.17816663002857772</v>
      </c>
      <c r="F3" s="45">
        <v>0.20858446270839898</v>
      </c>
      <c r="J3" s="79">
        <v>0.13781307916335717</v>
      </c>
      <c r="K3" s="79">
        <v>9.105635884020534E-2</v>
      </c>
      <c r="L3" s="79">
        <v>5.7369119665234315E-2</v>
      </c>
      <c r="M3" s="79">
        <v>7.8975363264911391E-2</v>
      </c>
      <c r="N3" s="79">
        <v>4.4572666053576196E-2</v>
      </c>
    </row>
    <row r="5" spans="1:15" x14ac:dyDescent="0.3">
      <c r="B5" s="80">
        <v>0.92424027456370006</v>
      </c>
      <c r="C5" s="80">
        <v>0.8450041892279847</v>
      </c>
      <c r="D5" s="80">
        <v>1.3451020905914968</v>
      </c>
      <c r="E5" s="80">
        <v>0.45108860803454376</v>
      </c>
      <c r="F5" s="80">
        <v>7.6738190076398191E-2</v>
      </c>
      <c r="J5" s="80">
        <v>1.4592873266688164</v>
      </c>
      <c r="K5" s="80">
        <v>2.8099356395816573</v>
      </c>
      <c r="L5" s="80">
        <v>4.1911639762107056</v>
      </c>
      <c r="M5" s="80">
        <v>1.9084260731319556</v>
      </c>
      <c r="N5" s="80">
        <v>2.7899749373433584</v>
      </c>
    </row>
    <row r="6" spans="1:15" x14ac:dyDescent="0.3">
      <c r="A6" s="76" t="s">
        <v>64</v>
      </c>
      <c r="B6" s="79">
        <v>0.20939385663293131</v>
      </c>
      <c r="C6" s="79">
        <v>0.17747832361049573</v>
      </c>
      <c r="D6" s="79">
        <v>0.20536981849344518</v>
      </c>
      <c r="E6" s="79">
        <v>5.1194080128291311E-2</v>
      </c>
      <c r="F6" s="79">
        <v>-4.4439258882127313E-3</v>
      </c>
      <c r="J6" s="79">
        <v>0.10671961874503574</v>
      </c>
      <c r="K6" s="79">
        <v>9.3683300314138421E-2</v>
      </c>
      <c r="L6" s="79">
        <v>5.5085603725618125E-2</v>
      </c>
      <c r="M6" s="79">
        <v>1.2801914847319939E-2</v>
      </c>
      <c r="N6" s="79">
        <v>2.9487673914978196E-2</v>
      </c>
    </row>
    <row r="7" spans="1:15" x14ac:dyDescent="0.3">
      <c r="A7" s="76" t="s">
        <v>125</v>
      </c>
      <c r="B7" s="80">
        <v>0.92424027456370006</v>
      </c>
      <c r="C7" s="80">
        <v>0.8450041892279847</v>
      </c>
      <c r="D7" s="80">
        <v>1.3451020905914968</v>
      </c>
      <c r="E7" s="80">
        <v>0.45108860803454376</v>
      </c>
      <c r="F7" s="80">
        <v>7.6738190076398191E-2</v>
      </c>
      <c r="J7" s="80">
        <v>1.4592873266688164</v>
      </c>
      <c r="K7" s="80">
        <v>2.8099356395816573</v>
      </c>
      <c r="L7" s="80">
        <v>4.1911639762107056</v>
      </c>
      <c r="M7" s="80">
        <v>1.9084260731319556</v>
      </c>
      <c r="N7" s="80">
        <v>2.7899749373433584</v>
      </c>
    </row>
    <row r="8" spans="1:15" x14ac:dyDescent="0.3">
      <c r="A8" s="76" t="s">
        <v>126</v>
      </c>
      <c r="B8" s="80">
        <v>0.76157957997707748</v>
      </c>
      <c r="C8" s="80">
        <v>0.70662672021188722</v>
      </c>
      <c r="D8" s="80">
        <v>1.0460592199831924</v>
      </c>
      <c r="E8" s="80">
        <v>0.35972252698285556</v>
      </c>
      <c r="F8" s="80">
        <v>6.3380336259150932E-2</v>
      </c>
      <c r="J8" s="80">
        <v>1.3909936217628525</v>
      </c>
      <c r="K8" s="80">
        <v>1.6794085827623513</v>
      </c>
      <c r="L8" s="80">
        <v>1.9345098039215687</v>
      </c>
      <c r="M8" s="80">
        <v>0.91872034287463644</v>
      </c>
      <c r="N8" s="80">
        <v>1.8522462562396007</v>
      </c>
    </row>
    <row r="9" spans="1:15" ht="15" x14ac:dyDescent="0.3">
      <c r="A9" s="77"/>
    </row>
    <row r="11" spans="1:15" x14ac:dyDescent="0.3">
      <c r="A11" s="75" t="s">
        <v>128</v>
      </c>
    </row>
    <row r="12" spans="1:15" x14ac:dyDescent="0.3">
      <c r="A12" s="76" t="s">
        <v>129</v>
      </c>
    </row>
    <row r="13" spans="1:15" x14ac:dyDescent="0.3">
      <c r="A13" s="76" t="s">
        <v>130</v>
      </c>
    </row>
    <row r="14" spans="1:15" x14ac:dyDescent="0.3">
      <c r="A14" s="76" t="s">
        <v>131</v>
      </c>
    </row>
    <row r="15" spans="1:15" x14ac:dyDescent="0.3">
      <c r="A15" s="76" t="s">
        <v>132</v>
      </c>
    </row>
    <row r="16" spans="1:15" x14ac:dyDescent="0.3">
      <c r="A16" s="76" t="s">
        <v>133</v>
      </c>
      <c r="J16" s="76" t="s">
        <v>138</v>
      </c>
      <c r="K16" s="23">
        <v>2025</v>
      </c>
      <c r="L16" s="23">
        <v>2024</v>
      </c>
      <c r="M16" s="23">
        <v>2023</v>
      </c>
      <c r="N16" s="23">
        <v>2022</v>
      </c>
      <c r="O16" s="23">
        <v>2021</v>
      </c>
    </row>
    <row r="17" spans="1:15" x14ac:dyDescent="0.3">
      <c r="A17" s="76" t="s">
        <v>134</v>
      </c>
      <c r="J17" s="86" t="s">
        <v>137</v>
      </c>
      <c r="K17" s="79">
        <f>Ratios!F$18</f>
        <v>0.2246256781305552</v>
      </c>
      <c r="L17" s="79">
        <f>Ratios!G$18</f>
        <v>0.18874825132509557</v>
      </c>
      <c r="M17" s="79">
        <f>Ratios!H$18</f>
        <v>0.21570546180237402</v>
      </c>
      <c r="N17" s="79">
        <f>Ratios!I$18</f>
        <v>6.4090550377899499E-2</v>
      </c>
      <c r="O17" s="79">
        <f>Ratios!J$18</f>
        <v>1.3220153384892654E-2</v>
      </c>
    </row>
    <row r="18" spans="1:15" x14ac:dyDescent="0.3">
      <c r="A18" s="76"/>
      <c r="B18" s="82"/>
      <c r="J18" s="87" t="s">
        <v>95</v>
      </c>
      <c r="K18" s="79">
        <f>Ratios!S$18</f>
        <v>0.19169711411172888</v>
      </c>
      <c r="L18" s="79">
        <f>Ratios!T$18</f>
        <v>0.15292083055132935</v>
      </c>
      <c r="M18" s="79">
        <f>Ratios!U$18</f>
        <v>0.11098112443474543</v>
      </c>
      <c r="N18" s="79">
        <f>Ratios!V$18</f>
        <v>7.2556272817388356E-2</v>
      </c>
      <c r="O18" s="79">
        <f>Ratios!W$18</f>
        <v>8.2559553828354448E-2</v>
      </c>
    </row>
    <row r="19" spans="1:15" x14ac:dyDescent="0.3">
      <c r="A19" s="76"/>
      <c r="B19" s="82"/>
    </row>
    <row r="20" spans="1:15" x14ac:dyDescent="0.3">
      <c r="A20" s="76"/>
      <c r="J20" s="91" t="s">
        <v>138</v>
      </c>
      <c r="K20" s="90" t="s">
        <v>137</v>
      </c>
      <c r="L20" s="87" t="s">
        <v>95</v>
      </c>
    </row>
    <row r="21" spans="1:15" x14ac:dyDescent="0.3">
      <c r="A21" s="82"/>
      <c r="B21" s="23"/>
      <c r="C21" s="23"/>
      <c r="D21" s="23"/>
      <c r="E21" s="23"/>
      <c r="F21" s="23"/>
      <c r="J21" s="23">
        <v>2025</v>
      </c>
      <c r="K21" s="79">
        <f>Ratios!F$18</f>
        <v>0.2246256781305552</v>
      </c>
      <c r="L21" s="79">
        <f>Ratios!S$18</f>
        <v>0.19169711411172888</v>
      </c>
    </row>
    <row r="22" spans="1:15" x14ac:dyDescent="0.3">
      <c r="A22" s="83"/>
      <c r="B22" s="78"/>
      <c r="C22" s="79"/>
      <c r="D22" s="79"/>
      <c r="E22" s="79"/>
      <c r="F22" s="79"/>
      <c r="H22" s="83"/>
      <c r="I22" s="83"/>
      <c r="J22" s="23">
        <v>2024</v>
      </c>
      <c r="K22" s="79">
        <f>Ratios!G$18</f>
        <v>0.18874825132509557</v>
      </c>
      <c r="L22" s="79">
        <f>Ratios!T$18</f>
        <v>0.15292083055132935</v>
      </c>
    </row>
    <row r="23" spans="1:15" x14ac:dyDescent="0.3">
      <c r="A23" s="83"/>
      <c r="B23" s="79"/>
      <c r="C23" s="79"/>
      <c r="D23" s="79"/>
      <c r="E23" s="79"/>
      <c r="F23" s="79"/>
      <c r="G23" s="83"/>
      <c r="I23" s="83"/>
      <c r="J23" s="23">
        <v>2023</v>
      </c>
      <c r="K23" s="79">
        <f>Ratios!H$18</f>
        <v>0.21570546180237402</v>
      </c>
      <c r="L23" s="79">
        <f>Ratios!U$18</f>
        <v>0.11098112443474543</v>
      </c>
    </row>
    <row r="24" spans="1:15" x14ac:dyDescent="0.3">
      <c r="B24" s="4"/>
      <c r="C24" s="4"/>
      <c r="D24" s="4"/>
      <c r="J24" s="23">
        <v>2022</v>
      </c>
      <c r="K24" s="79">
        <f>Ratios!I$18</f>
        <v>6.4090550377899499E-2</v>
      </c>
      <c r="L24" s="79">
        <f>Ratios!V$18</f>
        <v>7.2556272817388356E-2</v>
      </c>
    </row>
    <row r="25" spans="1:15" x14ac:dyDescent="0.3">
      <c r="B25" s="4"/>
      <c r="C25" s="4"/>
      <c r="D25" s="4"/>
      <c r="J25" s="23">
        <v>2021</v>
      </c>
      <c r="K25" s="79">
        <f>Ratios!J$18</f>
        <v>1.3220153384892654E-2</v>
      </c>
      <c r="L25" s="79">
        <f>Ratios!W$18</f>
        <v>8.2559553828354448E-2</v>
      </c>
    </row>
    <row r="27" spans="1:15" x14ac:dyDescent="0.3">
      <c r="B27" s="54" t="s">
        <v>136</v>
      </c>
      <c r="C27" s="23">
        <v>2025</v>
      </c>
      <c r="D27" s="23">
        <v>2024</v>
      </c>
      <c r="E27" s="23">
        <v>2023</v>
      </c>
      <c r="F27" s="23">
        <v>2022</v>
      </c>
      <c r="G27" s="23">
        <v>2021</v>
      </c>
    </row>
    <row r="28" spans="1:15" x14ac:dyDescent="0.3">
      <c r="B28" s="86" t="s">
        <v>137</v>
      </c>
      <c r="C28" s="89">
        <v>0.243038184239042</v>
      </c>
      <c r="D28" s="88">
        <v>0.22336960423538296</v>
      </c>
      <c r="E28" s="88">
        <v>0.16036363582448931</v>
      </c>
      <c r="F28" s="88">
        <v>0.14207973607923949</v>
      </c>
      <c r="G28" s="88">
        <v>0.1722760645218642</v>
      </c>
    </row>
    <row r="29" spans="1:15" x14ac:dyDescent="0.3">
      <c r="B29" s="87" t="s">
        <v>95</v>
      </c>
      <c r="C29" s="89">
        <v>0.1313635160180037</v>
      </c>
      <c r="D29" s="88">
        <v>5.4421470868313615E-2</v>
      </c>
      <c r="E29" s="88">
        <v>2.6479785821953251E-2</v>
      </c>
      <c r="F29" s="88">
        <v>3.8018906699547883E-2</v>
      </c>
      <c r="G29" s="88">
        <v>2.9591503752706992E-2</v>
      </c>
    </row>
    <row r="33" spans="10:19" x14ac:dyDescent="0.3">
      <c r="J33" s="91" t="s">
        <v>138</v>
      </c>
      <c r="K33" s="90" t="s">
        <v>137</v>
      </c>
      <c r="L33" s="87" t="s">
        <v>95</v>
      </c>
    </row>
    <row r="34" spans="10:19" x14ac:dyDescent="0.3">
      <c r="J34" s="23">
        <v>2025</v>
      </c>
      <c r="K34" s="79">
        <v>0.20939385663293131</v>
      </c>
      <c r="L34" s="79">
        <v>0.10671961874503574</v>
      </c>
    </row>
    <row r="35" spans="10:19" x14ac:dyDescent="0.3">
      <c r="J35" s="23">
        <v>2024</v>
      </c>
      <c r="K35" s="79">
        <v>0.17747832361049601</v>
      </c>
      <c r="L35" s="79">
        <v>9.3683300314138421E-2</v>
      </c>
    </row>
    <row r="36" spans="10:19" x14ac:dyDescent="0.3">
      <c r="J36" s="23">
        <v>2023</v>
      </c>
      <c r="K36" s="79">
        <v>0.20536981849344518</v>
      </c>
      <c r="L36" s="79">
        <v>5.5085603725618125E-2</v>
      </c>
    </row>
    <row r="37" spans="10:19" x14ac:dyDescent="0.3">
      <c r="J37" s="23">
        <v>2022</v>
      </c>
      <c r="K37" s="79">
        <v>5.1194080128291311E-2</v>
      </c>
      <c r="L37" s="79">
        <v>1.2801914847319939E-2</v>
      </c>
    </row>
    <row r="38" spans="10:19" x14ac:dyDescent="0.3">
      <c r="J38" s="23">
        <v>2021</v>
      </c>
      <c r="K38" s="79">
        <v>-4.4439258882127313E-3</v>
      </c>
      <c r="L38" s="79">
        <v>2.9487673914978196E-2</v>
      </c>
    </row>
    <row r="39" spans="10:19" x14ac:dyDescent="0.3">
      <c r="S39" s="86" t="s">
        <v>139</v>
      </c>
    </row>
    <row r="40" spans="10:19" x14ac:dyDescent="0.3">
      <c r="J40" t="s">
        <v>140</v>
      </c>
      <c r="R40">
        <v>2021</v>
      </c>
      <c r="S40">
        <v>1</v>
      </c>
    </row>
    <row r="41" spans="10:19" x14ac:dyDescent="0.3">
      <c r="J41" s="91" t="s">
        <v>138</v>
      </c>
      <c r="K41" s="90" t="s">
        <v>137</v>
      </c>
      <c r="L41" s="87" t="s">
        <v>95</v>
      </c>
      <c r="M41" s="23" t="s">
        <v>139</v>
      </c>
      <c r="N41" t="s">
        <v>141</v>
      </c>
      <c r="O41" s="80"/>
      <c r="P41" s="80"/>
      <c r="Q41" s="80"/>
      <c r="R41">
        <f>R40+1</f>
        <v>2022</v>
      </c>
      <c r="S41">
        <v>1</v>
      </c>
    </row>
    <row r="42" spans="10:19" x14ac:dyDescent="0.3">
      <c r="J42" s="23">
        <v>2025</v>
      </c>
      <c r="K42" s="80">
        <v>0.92424027456370006</v>
      </c>
      <c r="L42" s="80">
        <v>1.4592873266688164</v>
      </c>
      <c r="M42">
        <v>1</v>
      </c>
      <c r="N42" t="s">
        <v>142</v>
      </c>
      <c r="R42">
        <f t="shared" ref="R42:R44" si="0">R41+1</f>
        <v>2023</v>
      </c>
      <c r="S42">
        <v>1</v>
      </c>
    </row>
    <row r="43" spans="10:19" x14ac:dyDescent="0.3">
      <c r="J43" s="23">
        <v>2024</v>
      </c>
      <c r="K43" s="80">
        <v>0.8450041892279847</v>
      </c>
      <c r="L43" s="80">
        <v>2.8099356395816573</v>
      </c>
      <c r="M43">
        <v>1</v>
      </c>
      <c r="R43">
        <f t="shared" si="0"/>
        <v>2024</v>
      </c>
      <c r="S43">
        <v>1</v>
      </c>
    </row>
    <row r="44" spans="10:19" x14ac:dyDescent="0.3">
      <c r="J44" s="23">
        <v>2023</v>
      </c>
      <c r="K44" s="80">
        <v>1.3451020905914968</v>
      </c>
      <c r="L44" s="80">
        <v>4.1911639762107056</v>
      </c>
      <c r="M44">
        <v>1</v>
      </c>
      <c r="R44">
        <f t="shared" si="0"/>
        <v>2025</v>
      </c>
      <c r="S44">
        <v>1</v>
      </c>
    </row>
    <row r="45" spans="10:19" x14ac:dyDescent="0.3">
      <c r="J45" s="23">
        <v>2022</v>
      </c>
      <c r="K45" s="80">
        <v>0.45108860803454376</v>
      </c>
      <c r="L45" s="80">
        <v>1.9084260731319556</v>
      </c>
      <c r="M45">
        <v>1</v>
      </c>
    </row>
    <row r="46" spans="10:19" x14ac:dyDescent="0.3">
      <c r="J46" s="23">
        <v>2021</v>
      </c>
      <c r="K46" s="80">
        <v>7.6738190076398191E-2</v>
      </c>
      <c r="L46" s="80">
        <v>2.7899749373433584</v>
      </c>
      <c r="M46">
        <v>1</v>
      </c>
    </row>
    <row r="48" spans="10:19" x14ac:dyDescent="0.3">
      <c r="J48" s="76" t="s">
        <v>134</v>
      </c>
    </row>
    <row r="49" spans="10:14" x14ac:dyDescent="0.3">
      <c r="J49" s="93" t="s">
        <v>138</v>
      </c>
      <c r="K49" s="90" t="s">
        <v>137</v>
      </c>
      <c r="L49" s="87" t="s">
        <v>95</v>
      </c>
      <c r="M49" s="86" t="s">
        <v>71</v>
      </c>
      <c r="N49" s="86" t="s">
        <v>73</v>
      </c>
    </row>
    <row r="50" spans="10:14" x14ac:dyDescent="0.3">
      <c r="J50" s="23">
        <v>2021</v>
      </c>
      <c r="K50" s="80">
        <v>6.3380336259150932E-2</v>
      </c>
      <c r="L50" s="80">
        <v>1.8522462562396007</v>
      </c>
      <c r="M50" s="92">
        <v>0.8</v>
      </c>
      <c r="N50" s="92">
        <v>1.2</v>
      </c>
    </row>
    <row r="51" spans="10:14" x14ac:dyDescent="0.3">
      <c r="J51" s="23">
        <v>2022</v>
      </c>
      <c r="K51" s="80">
        <v>0.35972252698285556</v>
      </c>
      <c r="L51" s="80">
        <v>0.91872034287463644</v>
      </c>
      <c r="M51" s="92">
        <v>0.8</v>
      </c>
      <c r="N51" s="92">
        <v>1.2</v>
      </c>
    </row>
    <row r="52" spans="10:14" x14ac:dyDescent="0.3">
      <c r="J52" s="23">
        <v>2023</v>
      </c>
      <c r="K52" s="80">
        <v>1.0460592199831924</v>
      </c>
      <c r="L52" s="80">
        <v>1.9345098039215687</v>
      </c>
      <c r="M52" s="92">
        <v>0.8</v>
      </c>
      <c r="N52" s="92">
        <v>1.2</v>
      </c>
    </row>
    <row r="53" spans="10:14" x14ac:dyDescent="0.3">
      <c r="J53" s="23">
        <v>2024</v>
      </c>
      <c r="K53" s="80">
        <v>0.70662672021188722</v>
      </c>
      <c r="L53" s="80">
        <v>1.6794085827623513</v>
      </c>
      <c r="M53" s="92">
        <v>0.8</v>
      </c>
      <c r="N53" s="92">
        <v>1.2</v>
      </c>
    </row>
    <row r="54" spans="10:14" x14ac:dyDescent="0.3">
      <c r="J54" s="23">
        <v>2025</v>
      </c>
      <c r="K54" s="80">
        <v>0.76157957997707748</v>
      </c>
      <c r="L54" s="80">
        <v>1.3909936217628525</v>
      </c>
      <c r="M54" s="92">
        <v>0.8</v>
      </c>
      <c r="N54" s="92">
        <v>1.2</v>
      </c>
    </row>
    <row r="55" spans="10:14" x14ac:dyDescent="0.3">
      <c r="N55" s="23"/>
    </row>
  </sheetData>
  <sortState xmlns:xlrd2="http://schemas.microsoft.com/office/spreadsheetml/2017/richdata2" ref="J50:L54">
    <sortCondition ref="J50:J54"/>
  </sortState>
  <mergeCells count="2">
    <mergeCell ref="C1:D1"/>
    <mergeCell ref="K1:M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D30AB-0C15-4483-A6D5-BC49CA30C5AE}">
  <sheetPr>
    <tabColor theme="3" tint="-0.499984740745262"/>
  </sheetPr>
  <dimension ref="H36:I39"/>
  <sheetViews>
    <sheetView showGridLines="0" tabSelected="1" topLeftCell="B1" zoomScale="90" zoomScaleNormal="90" workbookViewId="0">
      <selection activeCell="M68" sqref="M68"/>
    </sheetView>
  </sheetViews>
  <sheetFormatPr defaultRowHeight="14.4" x14ac:dyDescent="0.3"/>
  <cols>
    <col min="1" max="1" width="2" customWidth="1"/>
    <col min="2" max="2" width="19.88671875" customWidth="1"/>
    <col min="3" max="3" width="2.21875" customWidth="1"/>
    <col min="4" max="4" width="2" customWidth="1"/>
    <col min="5" max="5" width="19.88671875" customWidth="1"/>
    <col min="6" max="6" width="2.6640625" customWidth="1"/>
  </cols>
  <sheetData>
    <row r="36" spans="8:9" x14ac:dyDescent="0.3">
      <c r="H36" t="s">
        <v>135</v>
      </c>
    </row>
    <row r="39" spans="8:9" ht="15.6" x14ac:dyDescent="0.4">
      <c r="I39" s="8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Financials_Netflix</vt:lpstr>
      <vt:lpstr>Financials_The Walt Disney</vt:lpstr>
      <vt:lpstr>Ratios</vt:lpstr>
      <vt:lpstr>Trend_Analysis</vt:lpstr>
      <vt:lpstr>KPIs_Qs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Mehreen Abdullah</cp:lastModifiedBy>
  <dcterms:created xsi:type="dcterms:W3CDTF">2026-02-04T13:29:12Z</dcterms:created>
  <dcterms:modified xsi:type="dcterms:W3CDTF">2026-02-14T15:30:56Z</dcterms:modified>
</cp:coreProperties>
</file>